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0123C118-D81C-4784-99C4-5AC50A1BEEE5}" xr6:coauthVersionLast="47" xr6:coauthVersionMax="47" xr10:uidLastSave="{00000000-0000-0000-0000-000000000000}"/>
  <bookViews>
    <workbookView xWindow="-120" yWindow="-120" windowWidth="29040" windowHeight="15720" tabRatio="599" xr2:uid="{00000000-000D-0000-FFFF-FFFF00000000}"/>
  </bookViews>
  <sheets>
    <sheet name="DATA" sheetId="1" r:id="rId1"/>
    <sheet name="ANAYLIS" sheetId="4" r:id="rId2"/>
    <sheet name="DASHBOARD." sheetId="10" r:id="rId3"/>
  </sheets>
  <definedNames>
    <definedName name="Slicer_Property_Typ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1" i="4" l="1"/>
  <c r="L21" i="4"/>
  <c r="K21" i="4"/>
  <c r="M21" i="4"/>
  <c r="N21" i="4"/>
  <c r="K23" i="1"/>
  <c r="K3" i="1"/>
  <c r="K4" i="1"/>
  <c r="K5" i="1"/>
  <c r="K6" i="1"/>
  <c r="K7" i="1"/>
  <c r="K8" i="1"/>
  <c r="K9" i="1"/>
  <c r="K10" i="1"/>
  <c r="K11" i="1"/>
  <c r="K12" i="1"/>
  <c r="K13" i="1"/>
  <c r="K14" i="1"/>
  <c r="K15" i="1"/>
  <c r="K16" i="1"/>
  <c r="K17" i="1"/>
  <c r="K18" i="1"/>
  <c r="K19" i="1"/>
  <c r="K20" i="1"/>
  <c r="K21" i="1"/>
  <c r="K22"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2" i="1"/>
</calcChain>
</file>

<file path=xl/sharedStrings.xml><?xml version="1.0" encoding="utf-8"?>
<sst xmlns="http://schemas.openxmlformats.org/spreadsheetml/2006/main" count="4191" uniqueCount="578">
  <si>
    <t>Property_ID</t>
  </si>
  <si>
    <t>Listing_Date</t>
  </si>
  <si>
    <t>City</t>
  </si>
  <si>
    <t>Location</t>
  </si>
  <si>
    <t>Property_Type</t>
  </si>
  <si>
    <t>Bedrooms</t>
  </si>
  <si>
    <t>Bathrooms</t>
  </si>
  <si>
    <t>Area_sqft</t>
  </si>
  <si>
    <t>Price</t>
  </si>
  <si>
    <t>Furnishing</t>
  </si>
  <si>
    <t>Parking</t>
  </si>
  <si>
    <t>Property_Status</t>
  </si>
  <si>
    <t>Agent_Name</t>
  </si>
  <si>
    <t>P0001</t>
  </si>
  <si>
    <t>Denver</t>
  </si>
  <si>
    <t>Apartment</t>
  </si>
  <si>
    <t>Furnished</t>
  </si>
  <si>
    <t>No</t>
  </si>
  <si>
    <t>Active</t>
  </si>
  <si>
    <t>A. Sharma</t>
  </si>
  <si>
    <t>P0002</t>
  </si>
  <si>
    <t>New York</t>
  </si>
  <si>
    <t>Queens</t>
  </si>
  <si>
    <t>House</t>
  </si>
  <si>
    <t>Unfurnished</t>
  </si>
  <si>
    <t>S. Lee</t>
  </si>
  <si>
    <t>P0003</t>
  </si>
  <si>
    <t>Seattle</t>
  </si>
  <si>
    <t>Fremont</t>
  </si>
  <si>
    <t>Yes</t>
  </si>
  <si>
    <t>Sold</t>
  </si>
  <si>
    <t>P0004</t>
  </si>
  <si>
    <t>Houston</t>
  </si>
  <si>
    <t>Montrose</t>
  </si>
  <si>
    <t>Condo</t>
  </si>
  <si>
    <t>D. Williams</t>
  </si>
  <si>
    <t>P0005</t>
  </si>
  <si>
    <t>R. Patel</t>
  </si>
  <si>
    <t>P0006</t>
  </si>
  <si>
    <t>Austin</t>
  </si>
  <si>
    <t>North Loop</t>
  </si>
  <si>
    <t>Pending</t>
  </si>
  <si>
    <t>K. Brown</t>
  </si>
  <si>
    <t>P0007</t>
  </si>
  <si>
    <t>Chicago</t>
  </si>
  <si>
    <t>Hyde Park</t>
  </si>
  <si>
    <t>M. Johnson</t>
  </si>
  <si>
    <t>P0008</t>
  </si>
  <si>
    <t>Miami</t>
  </si>
  <si>
    <t>Brickell</t>
  </si>
  <si>
    <t>P0009</t>
  </si>
  <si>
    <t>Round Rock</t>
  </si>
  <si>
    <t>Townhouse</t>
  </si>
  <si>
    <t>Semi-Furnished</t>
  </si>
  <si>
    <t>P0010</t>
  </si>
  <si>
    <t>P0011</t>
  </si>
  <si>
    <t>Capitol Hill</t>
  </si>
  <si>
    <t>P0012</t>
  </si>
  <si>
    <t>Coral Gables</t>
  </si>
  <si>
    <t>P0013</t>
  </si>
  <si>
    <t>P0014</t>
  </si>
  <si>
    <t>Downtown</t>
  </si>
  <si>
    <t>P0015</t>
  </si>
  <si>
    <t>P0016</t>
  </si>
  <si>
    <t>P0017</t>
  </si>
  <si>
    <t>Lincoln Park</t>
  </si>
  <si>
    <t>P0018</t>
  </si>
  <si>
    <t>Manhattan</t>
  </si>
  <si>
    <t>P0019</t>
  </si>
  <si>
    <t>Queen Anne</t>
  </si>
  <si>
    <t>P0020</t>
  </si>
  <si>
    <t>P0021</t>
  </si>
  <si>
    <t>South Congress</t>
  </si>
  <si>
    <t>P0022</t>
  </si>
  <si>
    <t>P0023</t>
  </si>
  <si>
    <t>Lakeview</t>
  </si>
  <si>
    <t>P0024</t>
  </si>
  <si>
    <t>Midtown</t>
  </si>
  <si>
    <t>P0025</t>
  </si>
  <si>
    <t>Ballard</t>
  </si>
  <si>
    <t>P0026</t>
  </si>
  <si>
    <t>P0027</t>
  </si>
  <si>
    <t>Cherry Creek</t>
  </si>
  <si>
    <t>P0028</t>
  </si>
  <si>
    <t>Brooklyn</t>
  </si>
  <si>
    <t>P0029</t>
  </si>
  <si>
    <t>P0030</t>
  </si>
  <si>
    <t>P0031</t>
  </si>
  <si>
    <t>P0032</t>
  </si>
  <si>
    <t>P0033</t>
  </si>
  <si>
    <t>P0034</t>
  </si>
  <si>
    <t>P0035</t>
  </si>
  <si>
    <t>Wynwood</t>
  </si>
  <si>
    <t>P0036</t>
  </si>
  <si>
    <t>P0037</t>
  </si>
  <si>
    <t>P0038</t>
  </si>
  <si>
    <t>P0039</t>
  </si>
  <si>
    <t>P0040</t>
  </si>
  <si>
    <t>P0041</t>
  </si>
  <si>
    <t>P0042</t>
  </si>
  <si>
    <t>Loop</t>
  </si>
  <si>
    <t>P0043</t>
  </si>
  <si>
    <t>P0044</t>
  </si>
  <si>
    <t>P0045</t>
  </si>
  <si>
    <t>P0046</t>
  </si>
  <si>
    <t>P0047</t>
  </si>
  <si>
    <t>P0048</t>
  </si>
  <si>
    <t>P0049</t>
  </si>
  <si>
    <t>P0050</t>
  </si>
  <si>
    <t>Bronx</t>
  </si>
  <si>
    <t>P0051</t>
  </si>
  <si>
    <t>P0052</t>
  </si>
  <si>
    <t>Katy</t>
  </si>
  <si>
    <t>P0053</t>
  </si>
  <si>
    <t>P0054</t>
  </si>
  <si>
    <t>P0055</t>
  </si>
  <si>
    <t>P0056</t>
  </si>
  <si>
    <t>P0057</t>
  </si>
  <si>
    <t>P0058</t>
  </si>
  <si>
    <t>P0059</t>
  </si>
  <si>
    <t>P0060</t>
  </si>
  <si>
    <t>P0061</t>
  </si>
  <si>
    <t>P0062</t>
  </si>
  <si>
    <t>P0063</t>
  </si>
  <si>
    <t>P0064</t>
  </si>
  <si>
    <t>P0065</t>
  </si>
  <si>
    <t>P0066</t>
  </si>
  <si>
    <t>P0067</t>
  </si>
  <si>
    <t>P0068</t>
  </si>
  <si>
    <t>Highlands</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</si>
  <si>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</si>
  <si>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</si>
  <si>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</si>
  <si>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</si>
  <si>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</si>
  <si>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</si>
  <si>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</si>
  <si>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</si>
  <si>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</si>
  <si>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</si>
  <si>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</si>
  <si>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</si>
  <si>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</si>
  <si>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</si>
  <si>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</si>
  <si>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</si>
  <si>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</si>
  <si>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</si>
  <si>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</si>
  <si>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</si>
  <si>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</si>
  <si>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</si>
  <si>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</si>
  <si>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</si>
  <si>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</si>
  <si>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</si>
  <si>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</si>
  <si>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</si>
  <si>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</si>
  <si>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</si>
  <si>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</si>
  <si>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</si>
  <si>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</si>
  <si>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</si>
  <si>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</si>
  <si>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</si>
  <si>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</si>
  <si>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</si>
  <si>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</si>
  <si>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</si>
  <si>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</si>
  <si>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</si>
  <si>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</si>
  <si>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</si>
  <si>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</si>
  <si>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</si>
  <si>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</si>
  <si>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</si>
  <si>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</si>
  <si>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</si>
  <si>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</si>
  <si>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</si>
  <si>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</si>
  <si>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</si>
  <si>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</si>
  <si>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</si>
  <si>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</si>
  <si>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</si>
  <si>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</si>
  <si>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</si>
  <si>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</si>
  <si>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</si>
  <si>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</si>
  <si>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</si>
  <si>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</si>
  <si>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</si>
  <si>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</si>
  <si>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</si>
  <si>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</si>
  <si>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</si>
  <si>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</si>
  <si>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</si>
  <si>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</si>
  <si>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</si>
  <si>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</si>
  <si>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</si>
  <si>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</si>
  <si>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</si>
  <si>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</si>
  <si>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</si>
  <si>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</si>
  <si>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</si>
  <si>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</si>
  <si>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</si>
  <si>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</si>
  <si>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</si>
  <si>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</si>
  <si>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</si>
  <si>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</si>
  <si>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</si>
  <si>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</si>
  <si>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</si>
  <si>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</si>
  <si>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</si>
  <si>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</si>
  <si>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</si>
  <si>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</si>
  <si>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</si>
  <si>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</si>
  <si>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</si>
  <si>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</si>
  <si>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</si>
  <si>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</si>
  <si>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</si>
  <si>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</si>
  <si>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</si>
  <si>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</si>
  <si>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</si>
  <si>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</si>
  <si>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</si>
  <si>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</si>
  <si>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</si>
  <si>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</si>
  <si>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</si>
  <si>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</si>
  <si>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</si>
  <si>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</si>
  <si>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</si>
  <si>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</si>
  <si>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</si>
  <si>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</si>
  <si>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</si>
  <si>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</si>
  <si>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</si>
  <si>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</si>
  <si>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</si>
  <si>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</si>
  <si>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</si>
  <si>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</si>
  <si>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</si>
  <si>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</si>
  <si>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</si>
  <si>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</si>
  <si>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</si>
  <si>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</si>
  <si>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</si>
  <si>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</si>
  <si>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</si>
  <si>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</si>
  <si>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</si>
  <si>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</si>
  <si>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</si>
  <si>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</si>
  <si>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</si>
  <si>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</si>
  <si>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</si>
  <si>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</si>
  <si>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</si>
  <si>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</si>
  <si>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</si>
  <si>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</si>
  <si>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</si>
  <si>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</si>
  <si>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</si>
  <si>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</si>
  <si>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</si>
  <si>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</si>
  <si>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</si>
  <si>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</si>
  <si>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</si>
  <si>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</si>
  <si>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</si>
  <si>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</si>
  <si>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</si>
  <si>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</si>
  <si>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</si>
  <si>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</si>
  <si>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</si>
  <si>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</si>
  <si>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</si>
  <si>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</si>
  <si>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</si>
  <si>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</si>
  <si>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</si>
  <si>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</si>
  <si>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</si>
  <si>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</si>
  <si>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</si>
  <si>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</si>
  <si>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</si>
  <si>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</si>
  <si>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</si>
  <si>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</si>
  <si>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</si>
  <si>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</si>
  <si>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</si>
  <si>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</si>
  <si>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</si>
  <si>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</si>
  <si>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</si>
  <si>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</si>
  <si>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</si>
  <si>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</si>
  <si>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</si>
  <si>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</si>
  <si>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</si>
  <si>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</si>
  <si>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</si>
  <si>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</si>
  <si>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</si>
  <si>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</si>
  <si>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</si>
  <si>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</si>
  <si>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</si>
  <si>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</si>
  <si>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</si>
  <si>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</si>
  <si>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</si>
  <si>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</si>
  <si>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</si>
  <si>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</si>
  <si>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</si>
  <si>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</si>
  <si>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</si>
  <si>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</si>
  <si>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</si>
  <si>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</si>
  <si>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</si>
  <si>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</si>
  <si>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</si>
  <si>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</si>
  <si>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</si>
  <si>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</si>
  <si>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</si>
  <si>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</si>
  <si>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</si>
  <si>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</si>
  <si>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</si>
  <si>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</si>
  <si>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</si>
  <si>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</si>
  <si>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</si>
  <si>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</si>
  <si>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</si>
  <si>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</si>
  <si>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</si>
  <si>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</si>
  <si>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</si>
  <si>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</si>
  <si>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</si>
  <si>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</si>
  <si>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</si>
  <si>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</si>
  <si>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</si>
  <si>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</si>
  <si>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</si>
  <si>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</si>
  <si>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</si>
  <si>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</si>
  <si>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</si>
  <si>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</si>
  <si>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</si>
  <si>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</si>
  <si>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</si>
  <si>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</si>
  <si>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</si>
  <si>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</si>
  <si>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</si>
  <si>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</si>
  <si>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</si>
  <si>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</si>
  <si>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</si>
  <si>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</si>
  <si>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</si>
  <si>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</si>
  <si>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</si>
  <si>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</si>
  <si>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</si>
  <si>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</si>
  <si>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</si>
  <si>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</si>
  <si>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</si>
  <si>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</si>
  <si>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</si>
  <si>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</si>
  <si>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</si>
  <si>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</si>
  <si>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</si>
  <si>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</si>
  <si>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</si>
  <si>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</si>
  <si>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</si>
  <si>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</si>
  <si>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</si>
  <si>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</si>
  <si>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</si>
  <si>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</si>
  <si>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</si>
  <si>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</si>
  <si>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</si>
  <si>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</si>
  <si>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</si>
  <si>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</si>
  <si>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</si>
  <si>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</si>
  <si>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</si>
  <si>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</si>
  <si>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</si>
  <si>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</si>
  <si>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</si>
  <si>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</si>
  <si>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</si>
  <si>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</si>
  <si>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</si>
  <si>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</si>
  <si>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</si>
  <si>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</si>
  <si>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</si>
  <si>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</si>
  <si>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</si>
  <si>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</si>
  <si>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</si>
  <si>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</si>
  <si>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</si>
  <si>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</si>
  <si>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</si>
  <si>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</si>
  <si>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</si>
  <si>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</si>
  <si>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</si>
  <si>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</si>
  <si>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</si>
  <si>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</si>
  <si>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</si>
  <si>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</si>
  <si>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</si>
  <si>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</si>
  <si>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</si>
  <si>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</si>
  <si>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</si>
  <si>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</si>
  <si>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</si>
  <si>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</si>
  <si>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</si>
  <si>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</si>
  <si>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</si>
  <si>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</si>
  <si>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</si>
  <si>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</si>
  <si>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</si>
  <si>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</si>
  <si>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</si>
  <si>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</si>
  <si>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</si>
  <si>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</si>
  <si>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</si>
  <si>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</si>
  <si>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</si>
  <si>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</si>
  <si>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</si>
  <si>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</si>
  <si>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</si>
  <si>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</si>
  <si>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</si>
  <si>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</si>
  <si>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</si>
  <si>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</si>
  <si>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</si>
  <si>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</si>
  <si>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</si>
  <si>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</si>
  <si>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</si>
  <si>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</si>
  <si>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</si>
  <si>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</si>
  <si>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</si>
  <si>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</si>
  <si>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</si>
  <si>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</si>
  <si>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</si>
  <si>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</si>
  <si>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</si>
  <si>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</si>
  <si>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</si>
  <si>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</si>
  <si>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</si>
  <si>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</si>
  <si>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</si>
  <si>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</si>
  <si>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</si>
  <si>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</si>
  <si>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</si>
  <si>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</si>
  <si>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</si>
  <si>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</si>
  <si>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</si>
  <si>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</si>
  <si>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</si>
  <si>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</si>
  <si>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</si>
  <si>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</si>
  <si>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</si>
  <si>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</si>
  <si>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</si>
  <si>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</si>
  <si>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</si>
  <si>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</si>
  <si>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</si>
  <si>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</si>
  <si>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</si>
  <si>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</si>
  <si>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</si>
  <si>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</si>
  <si>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</si>
  <si>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</si>
  <si>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</si>
  <si>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</si>
  <si>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</si>
  <si>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</si>
  <si>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</si>
  <si>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</si>
  <si>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</si>
  <si>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</si>
  <si>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</si>
  <si>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</si>
  <si>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</si>
  <si>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</si>
  <si>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</si>
  <si>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</si>
  <si>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</si>
  <si>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</si>
  <si>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</si>
  <si>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</si>
  <si>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</si>
  <si>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</si>
  <si>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</si>
  <si>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</si>
  <si>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</si>
  <si>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</si>
  <si>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</si>
  <si>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</si>
  <si>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</si>
  <si>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Row Labels</t>
  </si>
  <si>
    <t>Grand Total</t>
  </si>
  <si>
    <t>Unknown</t>
  </si>
  <si>
    <t>Count of Property_ID</t>
  </si>
  <si>
    <t>Average of Price</t>
  </si>
  <si>
    <t>Lodo</t>
  </si>
  <si>
    <t>Price_per_sqft</t>
  </si>
  <si>
    <t>Average of Price_per_sqft</t>
  </si>
  <si>
    <t>Count of Listing_Date</t>
  </si>
  <si>
    <t>Average of Area_sqft</t>
  </si>
  <si>
    <r>
      <t>Average Property Price</t>
    </r>
    <r>
      <rPr>
        <sz val="11"/>
        <rFont val="Carlito"/>
      </rPr>
      <t xml:space="preserve"> </t>
    </r>
  </si>
  <si>
    <r>
      <t>Average Area</t>
    </r>
    <r>
      <rPr>
        <sz val="11"/>
        <rFont val="Carlito"/>
      </rPr>
      <t xml:space="preserve"> </t>
    </r>
  </si>
  <si>
    <t>Average Price per Sq. Ft.</t>
  </si>
  <si>
    <t>Total Properties</t>
  </si>
  <si>
    <t>Sold Properties</t>
  </si>
  <si>
    <t>Count of Property_Status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</si>
</sst>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yyyy\-mm\-dd"/>
    <numFmt numFmtId="165" formatCode="&quot;$&quot;#,##0.00"/>
    <numFmt numFmtId="166" formatCode="[$₹-439]#,##0.00;[$₹-439]\-#,##0.00"/>
  </numFmts>
  <fonts count="6">
    <font>
      <sz val="11"/>
      <name val="Carlito"/>
    </font>
    <font>
      <b/>
      <sz val="11"/>
      <name val="Carlito"/>
    </font>
    <font>
      <sz val="11"/>
      <color theme="1"/>
      <name val="Segoe UI Black"/>
      <family val="2"/>
    </font>
    <font>
      <u/>
      <sz val="11"/>
      <name val="Carlito"/>
    </font>
    <font>
      <sz val="8"/>
      <name val="Carlito"/>
    </font>
    <font>
      <sz val="11"/>
      <name val="Carlito"/>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right/>
      <top/>
      <bottom/>
      <diagonal/>
    </border>
  </borders>
  <cellStyleXfs count="2">
    <xf numFmtId="0" fontId="0" fillId="0" borderId="0"/>
    <xf numFmtId="44" fontId="5" fillId="0" borderId="0" applyFont="0" applyFill="0" applyBorder="0" applyAlignment="0" applyProtection="0"/>
  </cellStyleXfs>
  <cellXfs count="21">
    <xf numFmtId="0" fontId="0" fillId="0" borderId="0" xfId="0"/>
    <xf numFmtId="0" fontId="1" fillId="0" borderId="0" xfId="0" applyFont="1"/>
    <xf numFmtId="0" fontId="2" fillId="2" borderId="1" xfId="0" applyFont="1" applyFill="1" applyBorder="1" applyAlignment="1">
      <alignment horizontal="center" vertical="center"/>
    </xf>
    <xf numFmtId="164" fontId="0" fillId="0" borderId="0" xfId="0" applyNumberFormat="1" applyFont="1" applyFill="1" applyBorder="1" applyAlignment="1">
      <alignment horizontal="center" vertical="center"/>
    </xf>
    <xf numFmtId="0" fontId="3" fillId="0" borderId="0" xfId="0" applyFont="1" applyAlignment="1">
      <alignment horizontal="center" vertical="center"/>
    </xf>
    <xf numFmtId="0" fontId="0"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1" fillId="3" borderId="0" xfId="0" applyFont="1" applyFill="1" applyAlignment="1">
      <alignment horizontal="center" vertical="center"/>
    </xf>
    <xf numFmtId="165" fontId="0" fillId="0" borderId="0" xfId="0" applyNumberFormat="1"/>
    <xf numFmtId="166" fontId="0" fillId="0" borderId="0" xfId="0" applyNumberFormat="1"/>
    <xf numFmtId="165" fontId="2" fillId="2" borderId="1" xfId="1" applyNumberFormat="1" applyFont="1" applyFill="1" applyBorder="1" applyAlignment="1">
      <alignment horizontal="center" vertical="center"/>
    </xf>
    <xf numFmtId="165" fontId="0" fillId="0" borderId="0" xfId="1" applyNumberFormat="1" applyFont="1" applyFill="1" applyBorder="1" applyAlignment="1">
      <alignment horizontal="center" vertical="center"/>
    </xf>
    <xf numFmtId="165" fontId="0" fillId="0" borderId="0" xfId="1" applyNumberFormat="1" applyFont="1"/>
    <xf numFmtId="2" fontId="0" fillId="0" borderId="1" xfId="1" applyNumberFormat="1" applyFont="1" applyFill="1" applyBorder="1" applyAlignment="1">
      <alignment horizontal="center" vertical="center"/>
    </xf>
    <xf numFmtId="165" fontId="0" fillId="0" borderId="0" xfId="0" applyNumberFormat="1" applyAlignment="1">
      <alignment horizontal="center" vertical="center"/>
    </xf>
    <xf numFmtId="10" fontId="0" fillId="0" borderId="0" xfId="0" applyNumberFormat="1"/>
    <xf numFmtId="0" fontId="0" fillId="0" borderId="0" xfId="0" applyFont="1" applyAlignment="1">
      <alignment horizontal="left"/>
    </xf>
    <xf numFmtId="2" fontId="0" fillId="0" borderId="0" xfId="0" applyNumberFormat="1"/>
    <xf numFmtId="0" fontId="0" fillId="0" borderId="0" xfId="0" applyFont="1"/>
  </cellXfs>
  <cellStyles count="2">
    <cellStyle name="Currency" xfId="1" builtinId="4"/>
    <cellStyle name="Normal" xfId="0" builtinId="0"/>
  </cellStyles>
  <dxfs count="17">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165" formatCode="&quot;$&quot;#,##0.0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164" formatCode="yyyy\-mm\-dd"/>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amily val="2"/>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Black"/>
        <family val="2"/>
        <scheme val="none"/>
      </font>
      <fill>
        <patternFill patternType="solid">
          <fgColor indexed="64"/>
          <bgColor rgb="FFFFFF00"/>
        </patternFill>
      </fill>
      <alignment horizontal="center" vertical="center" textRotation="0" wrapText="0" indent="0" justifyLastLine="0" shrinkToFit="0" readingOrder="0"/>
    </dxf>
    <dxf>
      <font>
        <sz val="11"/>
      </font>
    </dxf>
  </dxfs>
  <tableStyles count="1" defaultTableStyle="TableStyleMedium2" defaultPivotStyle="PivotStyleLight16">
    <tableStyle name="Slicer Style 1" pivot="0" table="0" count="0" xr9:uid="{4EBA0763-C9F8-4E17-90B0-7AFEF809699C}"/>
  </tableStyles>
  <colors>
    <mruColors>
      <color rgb="FFE37B25"/>
      <color rgb="FFA3C7D5"/>
      <color rgb="FF6CA5BC"/>
      <color rgb="FF3B6D81"/>
      <color rgb="FF2E5564"/>
      <color rgb="FF264653"/>
      <color rgb="FFC8A308"/>
      <color rgb="FF1C4C1E"/>
      <color rgb="FF2E7D32"/>
      <color rgb="FFA00404"/>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[real_estate_property_analysis_raw_data.xlsx]ANAYLIS!PivotTable1</c:name>
    <c:fmtId val="2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latin typeface="Georgia" panose="02040502050405020303" pitchFamily="18" charset="0"/>
              </a:rPr>
              <a:t>Property Listings by City</a:t>
            </a:r>
            <a:r>
              <a:rPr lang="en-US" sz="1400" b="0" i="0" u="none" strike="noStrike" baseline="0">
                <a:solidFill>
                  <a:schemeClr val="tx1"/>
                </a:solidFill>
                <a:latin typeface="Georgia" panose="02040502050405020303" pitchFamily="18" charset="0"/>
              </a:rPr>
              <a:t> </a:t>
            </a:r>
            <a:endParaRPr lang="en-US" i="0">
              <a:solidFill>
                <a:schemeClr val="tx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903B1"/>
          </a:solidFill>
          <a:ln>
            <a:noFill/>
          </a:ln>
          <a:effectLst>
            <a:outerShdw blurRad="50800" dist="38100" dir="2700000" algn="tl" rotWithShape="0">
              <a:prstClr val="black">
                <a:alpha val="40000"/>
              </a:prstClr>
            </a:outerShdw>
          </a:effectLst>
        </c:spPr>
      </c:pivotFmt>
      <c:pivotFmt>
        <c:idx val="4"/>
        <c:spPr>
          <a:solidFill>
            <a:srgbClr val="7215FB"/>
          </a:solidFill>
          <a:ln>
            <a:noFill/>
          </a:ln>
          <a:effectLst>
            <a:outerShdw blurRad="50800" dist="38100" dir="2700000" algn="tl" rotWithShape="0">
              <a:prstClr val="black">
                <a:alpha val="40000"/>
              </a:prstClr>
            </a:outerShdw>
          </a:effectLst>
        </c:spPr>
      </c:pivotFmt>
      <c:pivotFmt>
        <c:idx val="5"/>
        <c:spPr>
          <a:solidFill>
            <a:srgbClr val="924AFC"/>
          </a:solidFill>
          <a:ln>
            <a:noFill/>
          </a:ln>
          <a:effectLst>
            <a:outerShdw blurRad="50800" dist="38100" dir="2700000" algn="tl" rotWithShape="0">
              <a:prstClr val="black">
                <a:alpha val="40000"/>
              </a:prstClr>
            </a:outerShdw>
          </a:effectLst>
        </c:spPr>
      </c:pivotFmt>
      <c:pivotFmt>
        <c:idx val="6"/>
        <c:spPr>
          <a:solidFill>
            <a:srgbClr val="A467FD"/>
          </a:solidFill>
          <a:ln>
            <a:noFill/>
          </a:ln>
          <a:effectLst>
            <a:outerShdw blurRad="50800" dist="38100" dir="2700000" algn="tl" rotWithShape="0">
              <a:prstClr val="black">
                <a:alpha val="40000"/>
              </a:prstClr>
            </a:outerShdw>
          </a:effectLst>
        </c:spPr>
      </c:pivotFmt>
      <c:pivotFmt>
        <c:idx val="7"/>
        <c:spPr>
          <a:solidFill>
            <a:srgbClr val="C6A0FE"/>
          </a:solidFill>
          <a:ln>
            <a:noFill/>
          </a:ln>
          <a:effectLst>
            <a:outerShdw blurRad="50800" dist="38100" dir="2700000" algn="tl" rotWithShape="0">
              <a:prstClr val="black">
                <a:alpha val="40000"/>
              </a:prstClr>
            </a:outerShdw>
          </a:effectLst>
        </c:spPr>
      </c:pivotFmt>
      <c:pivotFmt>
        <c:idx val="8"/>
        <c:spPr>
          <a:solidFill>
            <a:srgbClr val="D8BEFE"/>
          </a:solidFill>
          <a:ln>
            <a:noFill/>
          </a:ln>
          <a:effectLst>
            <a:outerShdw blurRad="50800" dist="38100" dir="2700000" algn="tl" rotWithShape="0">
              <a:prstClr val="black">
                <a:alpha val="40000"/>
              </a:prstClr>
            </a:outerShdw>
          </a:effectLst>
        </c:spPr>
      </c:pivotFmt>
      <c:pivotFmt>
        <c:idx val="9"/>
        <c:spPr>
          <a:solidFill>
            <a:srgbClr val="F0E5FF"/>
          </a:solidFill>
          <a:ln>
            <a:noFill/>
          </a:ln>
          <a:effectLst>
            <a:outerShdw blurRad="50800" dist="38100" dir="2700000" algn="tl" rotWithShape="0">
              <a:prstClr val="black">
                <a:alpha val="40000"/>
              </a:prstClr>
            </a:outerShdw>
          </a:effectLst>
        </c:spPr>
      </c:pivotFmt>
      <c:pivotFmt>
        <c:idx val="10"/>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903B1"/>
          </a:solidFill>
          <a:ln>
            <a:noFill/>
          </a:ln>
          <a:effectLst>
            <a:outerShdw blurRad="50800" dist="38100" dir="2700000" algn="tl" rotWithShape="0">
              <a:prstClr val="black">
                <a:alpha val="40000"/>
              </a:prstClr>
            </a:outerShdw>
          </a:effectLst>
        </c:spPr>
      </c:pivotFmt>
      <c:pivotFmt>
        <c:idx val="12"/>
        <c:spPr>
          <a:solidFill>
            <a:srgbClr val="7215FB"/>
          </a:solidFill>
          <a:ln>
            <a:noFill/>
          </a:ln>
          <a:effectLst>
            <a:outerShdw blurRad="50800" dist="38100" dir="2700000" algn="tl" rotWithShape="0">
              <a:prstClr val="black">
                <a:alpha val="40000"/>
              </a:prstClr>
            </a:outerShdw>
          </a:effectLst>
        </c:spPr>
      </c:pivotFmt>
      <c:pivotFmt>
        <c:idx val="13"/>
        <c:spPr>
          <a:solidFill>
            <a:srgbClr val="924AFC"/>
          </a:solidFill>
          <a:ln>
            <a:noFill/>
          </a:ln>
          <a:effectLst>
            <a:outerShdw blurRad="50800" dist="38100" dir="2700000" algn="tl" rotWithShape="0">
              <a:prstClr val="black">
                <a:alpha val="40000"/>
              </a:prstClr>
            </a:outerShdw>
          </a:effectLst>
        </c:spPr>
      </c:pivotFmt>
      <c:pivotFmt>
        <c:idx val="14"/>
        <c:spPr>
          <a:solidFill>
            <a:srgbClr val="A467FD"/>
          </a:solidFill>
          <a:ln>
            <a:noFill/>
          </a:ln>
          <a:effectLst>
            <a:outerShdw blurRad="50800" dist="38100" dir="2700000" algn="tl" rotWithShape="0">
              <a:prstClr val="black">
                <a:alpha val="40000"/>
              </a:prstClr>
            </a:outerShdw>
          </a:effectLst>
        </c:spPr>
      </c:pivotFmt>
      <c:pivotFmt>
        <c:idx val="15"/>
        <c:spPr>
          <a:solidFill>
            <a:srgbClr val="C6A0FE"/>
          </a:solidFill>
          <a:ln>
            <a:noFill/>
          </a:ln>
          <a:effectLst>
            <a:outerShdw blurRad="50800" dist="38100" dir="2700000" algn="tl" rotWithShape="0">
              <a:prstClr val="black">
                <a:alpha val="40000"/>
              </a:prstClr>
            </a:outerShdw>
          </a:effectLst>
        </c:spPr>
      </c:pivotFmt>
      <c:pivotFmt>
        <c:idx val="16"/>
        <c:spPr>
          <a:solidFill>
            <a:srgbClr val="D8BEFE"/>
          </a:solidFill>
          <a:ln>
            <a:noFill/>
          </a:ln>
          <a:effectLst>
            <a:outerShdw blurRad="50800" dist="38100" dir="2700000" algn="tl" rotWithShape="0">
              <a:prstClr val="black">
                <a:alpha val="40000"/>
              </a:prstClr>
            </a:outerShdw>
          </a:effectLst>
        </c:spPr>
      </c:pivotFmt>
      <c:pivotFmt>
        <c:idx val="17"/>
        <c:spPr>
          <a:solidFill>
            <a:srgbClr val="F0E5FF"/>
          </a:solidFill>
          <a:ln>
            <a:noFill/>
          </a:ln>
          <a:effectLst>
            <a:outerShdw blurRad="50800" dist="38100" dir="2700000" algn="tl" rotWithShape="0">
              <a:prstClr val="black">
                <a:alpha val="40000"/>
              </a:prstClr>
            </a:outerShdw>
          </a:effectLst>
        </c:spPr>
      </c:pivotFmt>
      <c:pivotFmt>
        <c:idx val="18"/>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903B1"/>
          </a:solidFill>
          <a:ln>
            <a:noFill/>
          </a:ln>
          <a:effectLst>
            <a:outerShdw blurRad="50800" dist="38100" dir="2700000" algn="tl" rotWithShape="0">
              <a:prstClr val="black">
                <a:alpha val="40000"/>
              </a:prstClr>
            </a:outerShdw>
          </a:effectLst>
        </c:spPr>
      </c:pivotFmt>
      <c:pivotFmt>
        <c:idx val="20"/>
        <c:spPr>
          <a:solidFill>
            <a:srgbClr val="7215FB"/>
          </a:solidFill>
          <a:ln>
            <a:noFill/>
          </a:ln>
          <a:effectLst>
            <a:outerShdw blurRad="50800" dist="38100" dir="2700000" algn="tl" rotWithShape="0">
              <a:prstClr val="black">
                <a:alpha val="40000"/>
              </a:prstClr>
            </a:outerShdw>
          </a:effectLst>
        </c:spPr>
      </c:pivotFmt>
      <c:pivotFmt>
        <c:idx val="21"/>
        <c:spPr>
          <a:solidFill>
            <a:srgbClr val="924AFC"/>
          </a:solidFill>
          <a:ln>
            <a:noFill/>
          </a:ln>
          <a:effectLst>
            <a:outerShdw blurRad="50800" dist="38100" dir="2700000" algn="tl" rotWithShape="0">
              <a:prstClr val="black">
                <a:alpha val="40000"/>
              </a:prstClr>
            </a:outerShdw>
          </a:effectLst>
        </c:spPr>
      </c:pivotFmt>
      <c:pivotFmt>
        <c:idx val="22"/>
        <c:spPr>
          <a:solidFill>
            <a:srgbClr val="A467FD"/>
          </a:solidFill>
          <a:ln>
            <a:noFill/>
          </a:ln>
          <a:effectLst>
            <a:outerShdw blurRad="50800" dist="38100" dir="2700000" algn="tl" rotWithShape="0">
              <a:prstClr val="black">
                <a:alpha val="40000"/>
              </a:prstClr>
            </a:outerShdw>
          </a:effectLst>
        </c:spPr>
      </c:pivotFmt>
      <c:pivotFmt>
        <c:idx val="23"/>
        <c:spPr>
          <a:solidFill>
            <a:srgbClr val="C6A0FE"/>
          </a:solidFill>
          <a:ln>
            <a:noFill/>
          </a:ln>
          <a:effectLst>
            <a:outerShdw blurRad="50800" dist="38100" dir="2700000" algn="tl" rotWithShape="0">
              <a:prstClr val="black">
                <a:alpha val="40000"/>
              </a:prstClr>
            </a:outerShdw>
          </a:effectLst>
        </c:spPr>
      </c:pivotFmt>
      <c:pivotFmt>
        <c:idx val="24"/>
        <c:spPr>
          <a:solidFill>
            <a:srgbClr val="D8BEFE"/>
          </a:solidFill>
          <a:ln>
            <a:noFill/>
          </a:ln>
          <a:effectLst>
            <a:outerShdw blurRad="50800" dist="38100" dir="2700000" algn="tl" rotWithShape="0">
              <a:prstClr val="black">
                <a:alpha val="40000"/>
              </a:prstClr>
            </a:outerShdw>
          </a:effectLst>
        </c:spPr>
      </c:pivotFmt>
      <c:pivotFmt>
        <c:idx val="25"/>
        <c:spPr>
          <a:solidFill>
            <a:srgbClr val="F0E5FF"/>
          </a:solidFill>
          <a:ln>
            <a:noFill/>
          </a:ln>
          <a:effectLst>
            <a:outerShdw blurRad="50800" dist="38100" dir="2700000" algn="tl" rotWithShape="0">
              <a:prstClr val="black">
                <a:alpha val="40000"/>
              </a:prstClr>
            </a:outerShdw>
          </a:effectLst>
        </c:spPr>
      </c:pivotFmt>
      <c:pivotFmt>
        <c:idx val="26"/>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4903B1"/>
          </a:solidFill>
          <a:ln>
            <a:noFill/>
          </a:ln>
          <a:effectLst>
            <a:outerShdw blurRad="50800" dist="38100" dir="2700000" algn="tl" rotWithShape="0">
              <a:prstClr val="black">
                <a:alpha val="40000"/>
              </a:prstClr>
            </a:outerShdw>
          </a:effectLst>
        </c:spPr>
      </c:pivotFmt>
      <c:pivotFmt>
        <c:idx val="28"/>
        <c:spPr>
          <a:solidFill>
            <a:srgbClr val="7215FB"/>
          </a:solidFill>
          <a:ln>
            <a:noFill/>
          </a:ln>
          <a:effectLst>
            <a:outerShdw blurRad="50800" dist="38100" dir="2700000" algn="tl" rotWithShape="0">
              <a:prstClr val="black">
                <a:alpha val="40000"/>
              </a:prstClr>
            </a:outerShdw>
          </a:effectLst>
        </c:spPr>
      </c:pivotFmt>
      <c:pivotFmt>
        <c:idx val="29"/>
        <c:spPr>
          <a:solidFill>
            <a:srgbClr val="924AFC"/>
          </a:solidFill>
          <a:ln>
            <a:noFill/>
          </a:ln>
          <a:effectLst>
            <a:outerShdw blurRad="50800" dist="38100" dir="2700000" algn="tl" rotWithShape="0">
              <a:prstClr val="black">
                <a:alpha val="40000"/>
              </a:prstClr>
            </a:outerShdw>
          </a:effectLst>
        </c:spPr>
      </c:pivotFmt>
      <c:pivotFmt>
        <c:idx val="30"/>
        <c:spPr>
          <a:solidFill>
            <a:srgbClr val="A467FD"/>
          </a:solidFill>
          <a:ln>
            <a:noFill/>
          </a:ln>
          <a:effectLst>
            <a:outerShdw blurRad="50800" dist="38100" dir="2700000" algn="tl" rotWithShape="0">
              <a:prstClr val="black">
                <a:alpha val="40000"/>
              </a:prstClr>
            </a:outerShdw>
          </a:effectLst>
        </c:spPr>
      </c:pivotFmt>
      <c:pivotFmt>
        <c:idx val="31"/>
        <c:spPr>
          <a:solidFill>
            <a:srgbClr val="C6A0FE"/>
          </a:solidFill>
          <a:ln>
            <a:noFill/>
          </a:ln>
          <a:effectLst>
            <a:outerShdw blurRad="50800" dist="38100" dir="2700000" algn="tl" rotWithShape="0">
              <a:prstClr val="black">
                <a:alpha val="40000"/>
              </a:prstClr>
            </a:outerShdw>
          </a:effectLst>
        </c:spPr>
      </c:pivotFmt>
      <c:pivotFmt>
        <c:idx val="32"/>
        <c:spPr>
          <a:solidFill>
            <a:srgbClr val="D8BEFE"/>
          </a:solidFill>
          <a:ln>
            <a:noFill/>
          </a:ln>
          <a:effectLst>
            <a:outerShdw blurRad="50800" dist="38100" dir="2700000" algn="tl" rotWithShape="0">
              <a:prstClr val="black">
                <a:alpha val="40000"/>
              </a:prstClr>
            </a:outerShdw>
          </a:effectLst>
        </c:spPr>
      </c:pivotFmt>
      <c:pivotFmt>
        <c:idx val="33"/>
        <c:spPr>
          <a:solidFill>
            <a:srgbClr val="F0E5FF"/>
          </a:solidFill>
          <a:ln>
            <a:noFill/>
          </a:ln>
          <a:effectLst>
            <a:outerShdw blurRad="50800" dist="38100" dir="2700000" algn="tl" rotWithShape="0">
              <a:prstClr val="black">
                <a:alpha val="40000"/>
              </a:prstClr>
            </a:outerShdw>
          </a:effectLst>
        </c:spPr>
      </c:pivotFmt>
      <c:pivotFmt>
        <c:idx val="3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4903B1"/>
          </a:solidFill>
          <a:ln>
            <a:noFill/>
          </a:ln>
          <a:effectLst>
            <a:outerShdw blurRad="50800" dist="38100" dir="2700000" algn="tl" rotWithShape="0">
              <a:prstClr val="black">
                <a:alpha val="40000"/>
              </a:prstClr>
            </a:outerShdw>
          </a:effectLst>
        </c:spPr>
      </c:pivotFmt>
      <c:pivotFmt>
        <c:idx val="36"/>
        <c:spPr>
          <a:solidFill>
            <a:srgbClr val="7215FB"/>
          </a:solidFill>
          <a:ln>
            <a:noFill/>
          </a:ln>
          <a:effectLst>
            <a:outerShdw blurRad="50800" dist="38100" dir="2700000" algn="tl" rotWithShape="0">
              <a:prstClr val="black">
                <a:alpha val="40000"/>
              </a:prstClr>
            </a:outerShdw>
          </a:effectLst>
        </c:spPr>
      </c:pivotFmt>
      <c:pivotFmt>
        <c:idx val="37"/>
        <c:spPr>
          <a:solidFill>
            <a:srgbClr val="924AFC"/>
          </a:solidFill>
          <a:ln>
            <a:noFill/>
          </a:ln>
          <a:effectLst>
            <a:outerShdw blurRad="50800" dist="38100" dir="2700000" algn="tl" rotWithShape="0">
              <a:prstClr val="black">
                <a:alpha val="40000"/>
              </a:prstClr>
            </a:outerShdw>
          </a:effectLst>
        </c:spPr>
      </c:pivotFmt>
      <c:pivotFmt>
        <c:idx val="38"/>
        <c:spPr>
          <a:solidFill>
            <a:srgbClr val="A467FD"/>
          </a:solidFill>
          <a:ln>
            <a:noFill/>
          </a:ln>
          <a:effectLst>
            <a:outerShdw blurRad="50800" dist="38100" dir="2700000" algn="tl" rotWithShape="0">
              <a:prstClr val="black">
                <a:alpha val="40000"/>
              </a:prstClr>
            </a:outerShdw>
          </a:effectLst>
        </c:spPr>
      </c:pivotFmt>
      <c:pivotFmt>
        <c:idx val="39"/>
        <c:spPr>
          <a:solidFill>
            <a:srgbClr val="C6A0FE"/>
          </a:solidFill>
          <a:ln>
            <a:noFill/>
          </a:ln>
          <a:effectLst>
            <a:outerShdw blurRad="50800" dist="38100" dir="2700000" algn="tl" rotWithShape="0">
              <a:prstClr val="black">
                <a:alpha val="40000"/>
              </a:prstClr>
            </a:outerShdw>
          </a:effectLst>
        </c:spPr>
      </c:pivotFmt>
      <c:pivotFmt>
        <c:idx val="40"/>
        <c:spPr>
          <a:solidFill>
            <a:srgbClr val="D8BEFE"/>
          </a:solidFill>
          <a:ln>
            <a:noFill/>
          </a:ln>
          <a:effectLst>
            <a:outerShdw blurRad="50800" dist="38100" dir="2700000" algn="tl" rotWithShape="0">
              <a:prstClr val="black">
                <a:alpha val="40000"/>
              </a:prstClr>
            </a:outerShdw>
          </a:effectLst>
        </c:spPr>
      </c:pivotFmt>
      <c:pivotFmt>
        <c:idx val="41"/>
        <c:spPr>
          <a:solidFill>
            <a:srgbClr val="F0E5FF"/>
          </a:solidFill>
          <a:ln>
            <a:noFill/>
          </a:ln>
          <a:effectLst>
            <a:outerShdw blurRad="50800" dist="38100" dir="2700000" algn="tl" rotWithShape="0">
              <a:prstClr val="black">
                <a:alpha val="40000"/>
              </a:prstClr>
            </a:outerShdw>
          </a:effectLst>
        </c:spPr>
      </c:pivotFmt>
      <c:pivotFmt>
        <c:idx val="4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4903B1"/>
          </a:solidFill>
          <a:ln>
            <a:noFill/>
          </a:ln>
          <a:effectLst>
            <a:outerShdw blurRad="50800" dist="38100" dir="2700000" algn="tl" rotWithShape="0">
              <a:prstClr val="black">
                <a:alpha val="40000"/>
              </a:prstClr>
            </a:outerShdw>
          </a:effectLst>
        </c:spPr>
      </c:pivotFmt>
      <c:pivotFmt>
        <c:idx val="44"/>
        <c:spPr>
          <a:solidFill>
            <a:srgbClr val="7215FB"/>
          </a:solidFill>
          <a:ln>
            <a:noFill/>
          </a:ln>
          <a:effectLst>
            <a:outerShdw blurRad="50800" dist="38100" dir="2700000" algn="tl" rotWithShape="0">
              <a:prstClr val="black">
                <a:alpha val="40000"/>
              </a:prstClr>
            </a:outerShdw>
          </a:effectLst>
        </c:spPr>
      </c:pivotFmt>
      <c:pivotFmt>
        <c:idx val="45"/>
        <c:spPr>
          <a:solidFill>
            <a:srgbClr val="924AFC"/>
          </a:solidFill>
          <a:ln>
            <a:noFill/>
          </a:ln>
          <a:effectLst>
            <a:outerShdw blurRad="50800" dist="38100" dir="2700000" algn="tl" rotWithShape="0">
              <a:prstClr val="black">
                <a:alpha val="40000"/>
              </a:prstClr>
            </a:outerShdw>
          </a:effectLst>
        </c:spPr>
      </c:pivotFmt>
      <c:pivotFmt>
        <c:idx val="46"/>
        <c:spPr>
          <a:solidFill>
            <a:srgbClr val="A467FD"/>
          </a:solidFill>
          <a:ln>
            <a:noFill/>
          </a:ln>
          <a:effectLst>
            <a:outerShdw blurRad="50800" dist="38100" dir="2700000" algn="tl" rotWithShape="0">
              <a:prstClr val="black">
                <a:alpha val="40000"/>
              </a:prstClr>
            </a:outerShdw>
          </a:effectLst>
        </c:spPr>
      </c:pivotFmt>
      <c:pivotFmt>
        <c:idx val="47"/>
        <c:spPr>
          <a:solidFill>
            <a:srgbClr val="C6A0FE"/>
          </a:solidFill>
          <a:ln>
            <a:noFill/>
          </a:ln>
          <a:effectLst>
            <a:outerShdw blurRad="50800" dist="38100" dir="2700000" algn="tl" rotWithShape="0">
              <a:prstClr val="black">
                <a:alpha val="40000"/>
              </a:prstClr>
            </a:outerShdw>
          </a:effectLst>
        </c:spPr>
      </c:pivotFmt>
      <c:pivotFmt>
        <c:idx val="48"/>
        <c:spPr>
          <a:solidFill>
            <a:srgbClr val="D8BEFE"/>
          </a:solidFill>
          <a:ln>
            <a:noFill/>
          </a:ln>
          <a:effectLst>
            <a:outerShdw blurRad="50800" dist="38100" dir="2700000" algn="tl" rotWithShape="0">
              <a:prstClr val="black">
                <a:alpha val="40000"/>
              </a:prstClr>
            </a:outerShdw>
          </a:effectLst>
        </c:spPr>
      </c:pivotFmt>
      <c:pivotFmt>
        <c:idx val="49"/>
        <c:spPr>
          <a:solidFill>
            <a:srgbClr val="F0E5FF"/>
          </a:solidFill>
          <a:ln>
            <a:noFill/>
          </a:ln>
          <a:effectLst>
            <a:outerShdw blurRad="50800" dist="38100" dir="2700000" algn="tl" rotWithShape="0">
              <a:prstClr val="black">
                <a:alpha val="40000"/>
              </a:prstClr>
            </a:outerShdw>
          </a:effectLst>
        </c:spPr>
      </c:pivotFmt>
      <c:pivotFmt>
        <c:idx val="50"/>
        <c:spPr>
          <a:solidFill>
            <a:schemeClr val="accent1"/>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4903B1"/>
          </a:solidFill>
          <a:ln>
            <a:noFill/>
          </a:ln>
          <a:effectLst>
            <a:outerShdw blurRad="50800" dist="38100" algn="l" rotWithShape="0">
              <a:prstClr val="black">
                <a:alpha val="40000"/>
              </a:prstClr>
            </a:outerShdw>
          </a:effectLst>
        </c:spPr>
      </c:pivotFmt>
      <c:pivotFmt>
        <c:idx val="52"/>
        <c:spPr>
          <a:solidFill>
            <a:srgbClr val="7215FB"/>
          </a:solidFill>
          <a:ln>
            <a:noFill/>
          </a:ln>
          <a:effectLst>
            <a:outerShdw blurRad="50800" dist="38100" algn="l" rotWithShape="0">
              <a:prstClr val="black">
                <a:alpha val="40000"/>
              </a:prstClr>
            </a:outerShdw>
          </a:effectLst>
        </c:spPr>
      </c:pivotFmt>
      <c:pivotFmt>
        <c:idx val="53"/>
        <c:spPr>
          <a:solidFill>
            <a:srgbClr val="924AFC"/>
          </a:solidFill>
          <a:ln>
            <a:noFill/>
          </a:ln>
          <a:effectLst>
            <a:outerShdw blurRad="50800" dist="38100" algn="l" rotWithShape="0">
              <a:prstClr val="black">
                <a:alpha val="40000"/>
              </a:prstClr>
            </a:outerShdw>
          </a:effectLst>
        </c:spPr>
      </c:pivotFmt>
      <c:pivotFmt>
        <c:idx val="54"/>
        <c:spPr>
          <a:solidFill>
            <a:srgbClr val="A467FD"/>
          </a:solidFill>
          <a:ln>
            <a:noFill/>
          </a:ln>
          <a:effectLst>
            <a:outerShdw blurRad="50800" dist="38100" algn="l" rotWithShape="0">
              <a:prstClr val="black">
                <a:alpha val="40000"/>
              </a:prstClr>
            </a:outerShdw>
          </a:effectLst>
        </c:spPr>
      </c:pivotFmt>
      <c:pivotFmt>
        <c:idx val="55"/>
        <c:spPr>
          <a:solidFill>
            <a:srgbClr val="C6A0FE"/>
          </a:solidFill>
          <a:ln>
            <a:noFill/>
          </a:ln>
          <a:effectLst>
            <a:outerShdw blurRad="50800" dist="38100" algn="l" rotWithShape="0">
              <a:prstClr val="black">
                <a:alpha val="40000"/>
              </a:prstClr>
            </a:outerShdw>
          </a:effectLst>
        </c:spPr>
      </c:pivotFmt>
      <c:pivotFmt>
        <c:idx val="56"/>
        <c:spPr>
          <a:solidFill>
            <a:srgbClr val="D8BEFE"/>
          </a:solidFill>
          <a:ln>
            <a:noFill/>
          </a:ln>
          <a:effectLst>
            <a:outerShdw blurRad="50800" dist="38100" algn="l" rotWithShape="0">
              <a:prstClr val="black">
                <a:alpha val="40000"/>
              </a:prstClr>
            </a:outerShdw>
          </a:effectLst>
        </c:spPr>
      </c:pivotFmt>
      <c:pivotFmt>
        <c:idx val="57"/>
        <c:spPr>
          <a:solidFill>
            <a:srgbClr val="F0E5FF"/>
          </a:solidFill>
          <a:ln>
            <a:noFill/>
          </a:ln>
          <a:effectLst>
            <a:outerShdw blurRad="50800" dist="38100" algn="l" rotWithShape="0">
              <a:prstClr val="black">
                <a:alpha val="40000"/>
              </a:prstClr>
            </a:outerShdw>
          </a:effectLst>
        </c:spPr>
      </c:pivotFmt>
    </c:pivotFmts>
    <c:plotArea>
      <c:layout/>
      <c:barChart>
        <c:barDir val="col"/>
        <c:grouping val="clustered"/>
        <c:varyColors val="0"/>
        <c:ser>
          <c:idx val="0"/>
          <c:order val="0"/>
          <c:tx>
            <c:strRef>
              <c:f>ANAYLIS!$B$3</c:f>
              <c:strCache>
                <c:ptCount val="1"/>
                <c:pt idx="0">
                  <c:v>Total</c:v>
                </c:pt>
              </c:strCache>
            </c:strRef>
          </c:tx>
          <c:spPr>
            <a:solidFill>
              <a:schemeClr val="accent1"/>
            </a:solidFill>
            <a:ln>
              <a:noFill/>
            </a:ln>
            <a:effectLst>
              <a:outerShdw blurRad="50800" dist="38100" algn="l" rotWithShape="0">
                <a:prstClr val="black">
                  <a:alpha val="40000"/>
                </a:prstClr>
              </a:outerShdw>
            </a:effectLst>
          </c:spPr>
          <c:invertIfNegative val="0"/>
          <c:dPt>
            <c:idx val="0"/>
            <c:invertIfNegative val="0"/>
            <c:bubble3D val="0"/>
            <c:spPr>
              <a:solidFill>
                <a:srgbClr val="4903B1"/>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1-FD6B-4158-97BD-29AD62120D3D}"/>
              </c:ext>
            </c:extLst>
          </c:dPt>
          <c:dPt>
            <c:idx val="1"/>
            <c:invertIfNegative val="0"/>
            <c:bubble3D val="0"/>
            <c:spPr>
              <a:solidFill>
                <a:srgbClr val="7215FB"/>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3-FD6B-4158-97BD-29AD62120D3D}"/>
              </c:ext>
            </c:extLst>
          </c:dPt>
          <c:dPt>
            <c:idx val="2"/>
            <c:invertIfNegative val="0"/>
            <c:bubble3D val="0"/>
            <c:spPr>
              <a:solidFill>
                <a:srgbClr val="924AFC"/>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5-FD6B-4158-97BD-29AD62120D3D}"/>
              </c:ext>
            </c:extLst>
          </c:dPt>
          <c:dPt>
            <c:idx val="3"/>
            <c:invertIfNegative val="0"/>
            <c:bubble3D val="0"/>
            <c:spPr>
              <a:solidFill>
                <a:srgbClr val="A467F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7-FD6B-4158-97BD-29AD62120D3D}"/>
              </c:ext>
            </c:extLst>
          </c:dPt>
          <c:dPt>
            <c:idx val="4"/>
            <c:invertIfNegative val="0"/>
            <c:bubble3D val="0"/>
            <c:spPr>
              <a:solidFill>
                <a:srgbClr val="C6A0F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9-FD6B-4158-97BD-29AD62120D3D}"/>
              </c:ext>
            </c:extLst>
          </c:dPt>
          <c:dPt>
            <c:idx val="5"/>
            <c:invertIfNegative val="0"/>
            <c:bubble3D val="0"/>
            <c:spPr>
              <a:solidFill>
                <a:srgbClr val="D8BEF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B-FD6B-4158-97BD-29AD62120D3D}"/>
              </c:ext>
            </c:extLst>
          </c:dPt>
          <c:dPt>
            <c:idx val="6"/>
            <c:invertIfNegative val="0"/>
            <c:bubble3D val="0"/>
            <c:spPr>
              <a:solidFill>
                <a:srgbClr val="F0E5FF"/>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D-FD6B-4158-97BD-29AD62120D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ANAYLIS!$A$4:$A$11</c:f>
              <c:strCache>
                <c:ptCount val="7"/>
                <c:pt idx="0">
                  <c:v>Austin</c:v>
                </c:pt>
                <c:pt idx="1">
                  <c:v>Miami</c:v>
                </c:pt>
                <c:pt idx="2">
                  <c:v>Houston</c:v>
                </c:pt>
                <c:pt idx="3">
                  <c:v>Denver</c:v>
                </c:pt>
                <c:pt idx="4">
                  <c:v>Chicago</c:v>
                </c:pt>
                <c:pt idx="5">
                  <c:v>New York</c:v>
                </c:pt>
                <c:pt idx="6">
                  <c:v>Seattle</c:v>
                </c:pt>
              </c:strCache>
            </c:strRef>
          </c:cat>
          <c:val>
            <c:numRef>
              <c:f>ANAYLIS!$B$4:$B$11</c:f>
              <c:numCache>
                <c:formatCode>General</c:formatCode>
                <c:ptCount val="7"/>
                <c:pt idx="0">
                  <c:v>82</c:v>
                </c:pt>
                <c:pt idx="1">
                  <c:v>78</c:v>
                </c:pt>
                <c:pt idx="2">
                  <c:v>76</c:v>
                </c:pt>
                <c:pt idx="3">
                  <c:v>75</c:v>
                </c:pt>
                <c:pt idx="4">
                  <c:v>69</c:v>
                </c:pt>
                <c:pt idx="5">
                  <c:v>68</c:v>
                </c:pt>
                <c:pt idx="6">
                  <c:v>62</c:v>
                </c:pt>
              </c:numCache>
            </c:numRef>
          </c:val>
          <c:extLst>
            <c:ext xmlns:c16="http://schemas.microsoft.com/office/drawing/2014/chart" uri="{C3380CC4-5D6E-409C-BE32-E72D297353CC}">
              <c16:uniqueId val="{0000000E-FD6B-4158-97BD-29AD62120D3D}"/>
            </c:ext>
          </c:extLst>
        </c:ser>
        <c:dLbls>
          <c:dLblPos val="outEnd"/>
          <c:showLegendKey val="0"/>
          <c:showVal val="1"/>
          <c:showCatName val="0"/>
          <c:showSerName val="0"/>
          <c:showPercent val="0"/>
          <c:showBubbleSize val="0"/>
        </c:dLbls>
        <c:gapWidth val="219"/>
        <c:overlap val="-27"/>
        <c:axId val="235356095"/>
        <c:axId val="235367327"/>
      </c:barChart>
      <c:catAx>
        <c:axId val="235356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35367327"/>
        <c:crosses val="autoZero"/>
        <c:auto val="1"/>
        <c:lblAlgn val="l"/>
        <c:lblOffset val="100"/>
        <c:noMultiLvlLbl val="0"/>
      </c:catAx>
      <c:valAx>
        <c:axId val="235367327"/>
        <c:scaling>
          <c:orientation val="minMax"/>
        </c:scaling>
        <c:delete val="1"/>
        <c:axPos val="l"/>
        <c:numFmt formatCode="General" sourceLinked="1"/>
        <c:majorTickMark val="out"/>
        <c:minorTickMark val="none"/>
        <c:tickLblPos val="nextTo"/>
        <c:crossAx val="23535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[real_estate_property_analysis_raw_data.xlsx]ANAYLIS!PivotTable5</c:name>
    <c:fmtId val="18"/>
  </c:pivotSource>
  <c:chart>
    <c:autoTitleDeleted val="1"/>
    <c:pivotFmts>
      <c:pivotFmt>
        <c:idx val="0"/>
        <c:spPr>
          <a:solidFill>
            <a:srgbClr val="A00404"/>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1C4C1E"/>
          </a:solidFill>
          <a:ln w="19050">
            <a:solidFill>
              <a:schemeClr val="lt1"/>
            </a:solidFill>
          </a:ln>
          <a:effectLst/>
        </c:spPr>
      </c:pivotFmt>
      <c:pivotFmt>
        <c:idx val="2"/>
        <c:spPr>
          <a:solidFill>
            <a:srgbClr val="A00404"/>
          </a:solidFill>
          <a:ln w="19050">
            <a:solidFill>
              <a:schemeClr val="lt1"/>
            </a:solidFill>
          </a:ln>
          <a:effectLst/>
        </c:spPr>
      </c:pivotFmt>
      <c:pivotFmt>
        <c:idx val="3"/>
        <c:spPr>
          <a:solidFill>
            <a:srgbClr val="C8A308"/>
          </a:solidFill>
          <a:ln w="19050">
            <a:solidFill>
              <a:schemeClr val="lt1"/>
            </a:solidFill>
          </a:ln>
          <a:effectLst/>
        </c:spPr>
      </c:pivotFmt>
      <c:pivotFmt>
        <c:idx val="4"/>
        <c:spPr>
          <a:solidFill>
            <a:srgbClr val="A00404"/>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1C4C1E"/>
          </a:solidFill>
          <a:ln w="19050">
            <a:solidFill>
              <a:schemeClr val="lt1"/>
            </a:solidFill>
          </a:ln>
          <a:effectLst/>
        </c:spPr>
      </c:pivotFmt>
      <c:pivotFmt>
        <c:idx val="6"/>
        <c:spPr>
          <a:solidFill>
            <a:srgbClr val="C8A308"/>
          </a:solidFill>
          <a:ln w="19050">
            <a:solidFill>
              <a:schemeClr val="lt1"/>
            </a:solidFill>
          </a:ln>
          <a:effectLst/>
        </c:spPr>
      </c:pivotFmt>
      <c:pivotFmt>
        <c:idx val="7"/>
        <c:spPr>
          <a:solidFill>
            <a:srgbClr val="A00404"/>
          </a:solidFill>
          <a:ln w="19050">
            <a:solidFill>
              <a:schemeClr val="lt1"/>
            </a:solidFill>
          </a:ln>
          <a:effectLst/>
        </c:spPr>
      </c:pivotFmt>
      <c:pivotFmt>
        <c:idx val="8"/>
        <c:spPr>
          <a:solidFill>
            <a:srgbClr val="A00404"/>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1C4C1E"/>
          </a:solidFill>
          <a:ln w="19050">
            <a:solidFill>
              <a:schemeClr val="lt1"/>
            </a:solidFill>
          </a:ln>
          <a:effectLst/>
        </c:spPr>
      </c:pivotFmt>
      <c:pivotFmt>
        <c:idx val="10"/>
        <c:spPr>
          <a:solidFill>
            <a:srgbClr val="C8A308"/>
          </a:solidFill>
          <a:ln w="19050">
            <a:solidFill>
              <a:schemeClr val="lt1"/>
            </a:solidFill>
          </a:ln>
          <a:effectLst/>
        </c:spPr>
      </c:pivotFmt>
      <c:pivotFmt>
        <c:idx val="11"/>
        <c:spPr>
          <a:solidFill>
            <a:srgbClr val="A00404"/>
          </a:solidFill>
          <a:ln w="19050">
            <a:solidFill>
              <a:schemeClr val="lt1"/>
            </a:solidFill>
          </a:ln>
          <a:effectLst/>
        </c:spPr>
      </c:pivotFmt>
      <c:pivotFmt>
        <c:idx val="12"/>
        <c:spPr>
          <a:solidFill>
            <a:srgbClr val="A00404"/>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1C4C1E"/>
          </a:solidFill>
          <a:ln w="19050">
            <a:solidFill>
              <a:schemeClr val="lt1"/>
            </a:solidFill>
          </a:ln>
          <a:effectLst/>
        </c:spPr>
      </c:pivotFmt>
      <c:pivotFmt>
        <c:idx val="14"/>
        <c:spPr>
          <a:solidFill>
            <a:srgbClr val="C8A308"/>
          </a:solidFill>
          <a:ln w="19050">
            <a:solidFill>
              <a:schemeClr val="lt1"/>
            </a:solidFill>
          </a:ln>
          <a:effectLst/>
        </c:spPr>
      </c:pivotFmt>
      <c:pivotFmt>
        <c:idx val="15"/>
        <c:spPr>
          <a:solidFill>
            <a:srgbClr val="A00404"/>
          </a:solidFill>
          <a:ln w="19050">
            <a:solidFill>
              <a:schemeClr val="lt1"/>
            </a:solidFill>
          </a:ln>
          <a:effectLst/>
        </c:spPr>
      </c:pivotFmt>
      <c:pivotFmt>
        <c:idx val="16"/>
        <c:spPr>
          <a:solidFill>
            <a:srgbClr val="A00404"/>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1C4C1E"/>
          </a:solidFill>
          <a:ln w="19050">
            <a:solidFill>
              <a:schemeClr val="lt1"/>
            </a:solidFill>
          </a:ln>
          <a:effectLst/>
        </c:spPr>
      </c:pivotFmt>
      <c:pivotFmt>
        <c:idx val="18"/>
        <c:spPr>
          <a:solidFill>
            <a:srgbClr val="C8A308"/>
          </a:solidFill>
          <a:ln w="19050">
            <a:solidFill>
              <a:schemeClr val="lt1"/>
            </a:solidFill>
          </a:ln>
          <a:effectLst/>
        </c:spPr>
      </c:pivotFmt>
      <c:pivotFmt>
        <c:idx val="19"/>
        <c:spPr>
          <a:solidFill>
            <a:srgbClr val="A00404"/>
          </a:solidFill>
          <a:ln w="19050">
            <a:solidFill>
              <a:schemeClr val="lt1"/>
            </a:solidFill>
          </a:ln>
          <a:effectLst/>
        </c:spPr>
      </c:pivotFmt>
    </c:pivotFmts>
    <c:plotArea>
      <c:layout>
        <c:manualLayout>
          <c:layoutTarget val="inner"/>
          <c:xMode val="edge"/>
          <c:yMode val="edge"/>
          <c:x val="0.11582670128700399"/>
          <c:y val="0.15812758942322297"/>
          <c:w val="0.54763126672570805"/>
          <c:h val="0.74366994753926385"/>
        </c:manualLayout>
      </c:layout>
      <c:pieChart>
        <c:varyColors val="1"/>
        <c:ser>
          <c:idx val="0"/>
          <c:order val="0"/>
          <c:tx>
            <c:strRef>
              <c:f>ANAYLIS!$H$13</c:f>
              <c:strCache>
                <c:ptCount val="1"/>
                <c:pt idx="0">
                  <c:v>Total</c:v>
                </c:pt>
              </c:strCache>
            </c:strRef>
          </c:tx>
          <c:spPr>
            <a:solidFill>
              <a:srgbClr val="A00404"/>
            </a:solidFill>
          </c:spPr>
          <c:dPt>
            <c:idx val="0"/>
            <c:bubble3D val="0"/>
            <c:spPr>
              <a:solidFill>
                <a:srgbClr val="1C4C1E"/>
              </a:solidFill>
              <a:ln w="19050">
                <a:solidFill>
                  <a:schemeClr val="lt1"/>
                </a:solidFill>
              </a:ln>
              <a:effectLst/>
            </c:spPr>
            <c:extLst>
              <c:ext xmlns:c16="http://schemas.microsoft.com/office/drawing/2014/chart" uri="{C3380CC4-5D6E-409C-BE32-E72D297353CC}">
                <c16:uniqueId val="{00000001-C12A-48C1-9EDC-D0D56D4649E9}"/>
              </c:ext>
            </c:extLst>
          </c:dPt>
          <c:dPt>
            <c:idx val="1"/>
            <c:bubble3D val="0"/>
            <c:spPr>
              <a:solidFill>
                <a:srgbClr val="C8A308"/>
              </a:solidFill>
              <a:ln w="19050">
                <a:solidFill>
                  <a:schemeClr val="lt1"/>
                </a:solidFill>
              </a:ln>
              <a:effectLst/>
            </c:spPr>
            <c:extLst>
              <c:ext xmlns:c16="http://schemas.microsoft.com/office/drawing/2014/chart" uri="{C3380CC4-5D6E-409C-BE32-E72D297353CC}">
                <c16:uniqueId val="{00000003-C12A-48C1-9EDC-D0D56D4649E9}"/>
              </c:ext>
            </c:extLst>
          </c:dPt>
          <c:dPt>
            <c:idx val="2"/>
            <c:bubble3D val="0"/>
            <c:spPr>
              <a:solidFill>
                <a:srgbClr val="A00404"/>
              </a:solidFill>
              <a:ln w="19050">
                <a:solidFill>
                  <a:schemeClr val="lt1"/>
                </a:solidFill>
              </a:ln>
              <a:effectLst/>
            </c:spPr>
            <c:extLst>
              <c:ext xmlns:c16="http://schemas.microsoft.com/office/drawing/2014/chart" uri="{C3380CC4-5D6E-409C-BE32-E72D297353CC}">
                <c16:uniqueId val="{00000005-C12A-48C1-9EDC-D0D56D4649E9}"/>
              </c:ext>
            </c:extLst>
          </c:dPt>
          <c:dLbls>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ANAYLIS!$G$14:$G$17</c:f>
              <c:strCache>
                <c:ptCount val="3"/>
                <c:pt idx="0">
                  <c:v>Active</c:v>
                </c:pt>
                <c:pt idx="1">
                  <c:v>Pending</c:v>
                </c:pt>
                <c:pt idx="2">
                  <c:v>Sold</c:v>
                </c:pt>
              </c:strCache>
            </c:strRef>
          </c:cat>
          <c:val>
            <c:numRef>
              <c:f>ANAYLIS!$H$14:$H$17</c:f>
              <c:numCache>
                <c:formatCode>0.00%</c:formatCode>
                <c:ptCount val="3"/>
                <c:pt idx="0">
                  <c:v>0.29803921568627451</c:v>
                </c:pt>
                <c:pt idx="1">
                  <c:v>0.36862745098039218</c:v>
                </c:pt>
                <c:pt idx="2">
                  <c:v>0.33333333333333331</c:v>
                </c:pt>
              </c:numCache>
            </c:numRef>
          </c:val>
          <c:extLst>
            <c:ext xmlns:c16="http://schemas.microsoft.com/office/drawing/2014/chart" uri="{C3380CC4-5D6E-409C-BE32-E72D297353CC}">
              <c16:uniqueId val="{00000006-C12A-48C1-9EDC-D0D56D4649E9}"/>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solidFill>
            <a:schemeClr val="bg1"/>
          </a:solidFill>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solidFill>
                  <a:schemeClr val="bg1"/>
                </a:solidFill>
                <a:latin typeface="Georgia" panose="02040502050405020303" pitchFamily="18" charset="0"/>
              </a:rPr>
              <a:t>Property Area vs Price</a:t>
            </a:r>
            <a:endParaRPr lang="en-US" sz="1400">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5450393700787401"/>
          <c:y val="0.15799787007454738"/>
          <c:w val="0.78051859896823239"/>
          <c:h val="0.7431809681936723"/>
        </c:manualLayout>
      </c:layout>
      <c:scatterChart>
        <c:scatterStyle val="lineMarker"/>
        <c:varyColors val="0"/>
        <c:ser>
          <c:idx val="0"/>
          <c:order val="0"/>
          <c:tx>
            <c:strRef>
              <c:f>DATA!$J$1</c:f>
              <c:strCache>
                <c:ptCount val="1"/>
                <c:pt idx="0">
                  <c:v>Price</c:v>
                </c:pt>
              </c:strCache>
            </c:strRef>
          </c:tx>
          <c:spPr>
            <a:ln w="25400" cap="rnd">
              <a:noFill/>
            </a:ln>
            <a:effectLst>
              <a:glow rad="25400">
                <a:schemeClr val="accent2">
                  <a:satMod val="175000"/>
                  <a:alpha val="40000"/>
                </a:schemeClr>
              </a:glow>
            </a:effectLst>
          </c:spPr>
          <c:marker>
            <c:symbol val="circle"/>
            <c:size val="3"/>
            <c:spPr>
              <a:solidFill>
                <a:srgbClr val="E37B25"/>
              </a:solidFill>
              <a:ln>
                <a:noFill/>
              </a:ln>
              <a:effectLst>
                <a:glow rad="25400">
                  <a:schemeClr val="accent2">
                    <a:satMod val="175000"/>
                    <a:alpha val="40000"/>
                  </a:schemeClr>
                </a:glow>
              </a:effectLst>
            </c:spPr>
          </c:marker>
          <c:trendline>
            <c:spPr>
              <a:ln w="25400" cap="rnd">
                <a:solidFill>
                  <a:srgbClr val="00B0F0">
                    <a:alpha val="50000"/>
                  </a:srgbClr>
                </a:solidFill>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rendlineLbl>
          </c:trendline>
          <c:xVal>
            <c:numRef>
              <c:f>DATA!$I$2:$I$511</c:f>
              <c:numCache>
                <c:formatCode>General</c:formatCode>
                <c:ptCount val="510"/>
                <c:pt idx="0">
                  <c:v>3399</c:v>
                </c:pt>
                <c:pt idx="1">
                  <c:v>3368</c:v>
                </c:pt>
                <c:pt idx="2">
                  <c:v>3233</c:v>
                </c:pt>
                <c:pt idx="3">
                  <c:v>3142</c:v>
                </c:pt>
                <c:pt idx="4">
                  <c:v>3140</c:v>
                </c:pt>
                <c:pt idx="5">
                  <c:v>3129</c:v>
                </c:pt>
                <c:pt idx="6">
                  <c:v>3092</c:v>
                </c:pt>
                <c:pt idx="7">
                  <c:v>3072</c:v>
                </c:pt>
                <c:pt idx="8">
                  <c:v>3054</c:v>
                </c:pt>
                <c:pt idx="9">
                  <c:v>2949</c:v>
                </c:pt>
                <c:pt idx="10">
                  <c:v>2943</c:v>
                </c:pt>
                <c:pt idx="11">
                  <c:v>2901</c:v>
                </c:pt>
                <c:pt idx="12">
                  <c:v>2868</c:v>
                </c:pt>
                <c:pt idx="13">
                  <c:v>2866</c:v>
                </c:pt>
                <c:pt idx="14">
                  <c:v>2852</c:v>
                </c:pt>
                <c:pt idx="15">
                  <c:v>2839</c:v>
                </c:pt>
                <c:pt idx="16">
                  <c:v>2839</c:v>
                </c:pt>
                <c:pt idx="17">
                  <c:v>2831</c:v>
                </c:pt>
                <c:pt idx="18">
                  <c:v>2795</c:v>
                </c:pt>
                <c:pt idx="19">
                  <c:v>2776</c:v>
                </c:pt>
                <c:pt idx="20">
                  <c:v>2740</c:v>
                </c:pt>
                <c:pt idx="21">
                  <c:v>2732</c:v>
                </c:pt>
                <c:pt idx="22">
                  <c:v>2716</c:v>
                </c:pt>
                <c:pt idx="23">
                  <c:v>2713</c:v>
                </c:pt>
                <c:pt idx="24">
                  <c:v>2703</c:v>
                </c:pt>
                <c:pt idx="25">
                  <c:v>2700</c:v>
                </c:pt>
                <c:pt idx="26">
                  <c:v>2671</c:v>
                </c:pt>
                <c:pt idx="27">
                  <c:v>2665</c:v>
                </c:pt>
                <c:pt idx="28">
                  <c:v>2662</c:v>
                </c:pt>
                <c:pt idx="29">
                  <c:v>2654</c:v>
                </c:pt>
                <c:pt idx="30">
                  <c:v>2649</c:v>
                </c:pt>
                <c:pt idx="31">
                  <c:v>2616</c:v>
                </c:pt>
                <c:pt idx="32">
                  <c:v>2611</c:v>
                </c:pt>
                <c:pt idx="33">
                  <c:v>2603</c:v>
                </c:pt>
                <c:pt idx="34">
                  <c:v>2593</c:v>
                </c:pt>
                <c:pt idx="35">
                  <c:v>2591</c:v>
                </c:pt>
                <c:pt idx="36">
                  <c:v>2584</c:v>
                </c:pt>
                <c:pt idx="37">
                  <c:v>2576</c:v>
                </c:pt>
                <c:pt idx="38">
                  <c:v>2573</c:v>
                </c:pt>
                <c:pt idx="39">
                  <c:v>2550</c:v>
                </c:pt>
                <c:pt idx="40">
                  <c:v>2549</c:v>
                </c:pt>
                <c:pt idx="41">
                  <c:v>2548</c:v>
                </c:pt>
                <c:pt idx="42">
                  <c:v>2519</c:v>
                </c:pt>
                <c:pt idx="43">
                  <c:v>2517</c:v>
                </c:pt>
                <c:pt idx="44">
                  <c:v>2510</c:v>
                </c:pt>
                <c:pt idx="45">
                  <c:v>2506</c:v>
                </c:pt>
                <c:pt idx="46">
                  <c:v>2495</c:v>
                </c:pt>
                <c:pt idx="47">
                  <c:v>2489</c:v>
                </c:pt>
                <c:pt idx="48">
                  <c:v>2482</c:v>
                </c:pt>
                <c:pt idx="49">
                  <c:v>2479</c:v>
                </c:pt>
                <c:pt idx="50">
                  <c:v>2473</c:v>
                </c:pt>
                <c:pt idx="51">
                  <c:v>2468</c:v>
                </c:pt>
                <c:pt idx="52">
                  <c:v>2444</c:v>
                </c:pt>
                <c:pt idx="53">
                  <c:v>2443</c:v>
                </c:pt>
                <c:pt idx="54">
                  <c:v>2411</c:v>
                </c:pt>
                <c:pt idx="55">
                  <c:v>2410</c:v>
                </c:pt>
                <c:pt idx="56">
                  <c:v>2410</c:v>
                </c:pt>
                <c:pt idx="57">
                  <c:v>2409</c:v>
                </c:pt>
                <c:pt idx="58">
                  <c:v>2392</c:v>
                </c:pt>
                <c:pt idx="59">
                  <c:v>2368</c:v>
                </c:pt>
                <c:pt idx="60">
                  <c:v>2365</c:v>
                </c:pt>
                <c:pt idx="61">
                  <c:v>2357</c:v>
                </c:pt>
                <c:pt idx="62">
                  <c:v>2353</c:v>
                </c:pt>
                <c:pt idx="63">
                  <c:v>2351</c:v>
                </c:pt>
                <c:pt idx="64">
                  <c:v>2343</c:v>
                </c:pt>
                <c:pt idx="65">
                  <c:v>2337</c:v>
                </c:pt>
                <c:pt idx="66">
                  <c:v>2316</c:v>
                </c:pt>
                <c:pt idx="67">
                  <c:v>2308</c:v>
                </c:pt>
                <c:pt idx="68">
                  <c:v>2307</c:v>
                </c:pt>
                <c:pt idx="69">
                  <c:v>2305</c:v>
                </c:pt>
                <c:pt idx="70">
                  <c:v>2304</c:v>
                </c:pt>
                <c:pt idx="71">
                  <c:v>2303</c:v>
                </c:pt>
                <c:pt idx="72">
                  <c:v>2298</c:v>
                </c:pt>
                <c:pt idx="73">
                  <c:v>2286</c:v>
                </c:pt>
                <c:pt idx="74">
                  <c:v>2278</c:v>
                </c:pt>
                <c:pt idx="75">
                  <c:v>2268</c:v>
                </c:pt>
                <c:pt idx="76">
                  <c:v>2263</c:v>
                </c:pt>
                <c:pt idx="77">
                  <c:v>2257</c:v>
                </c:pt>
                <c:pt idx="78">
                  <c:v>2221</c:v>
                </c:pt>
                <c:pt idx="79">
                  <c:v>2219</c:v>
                </c:pt>
                <c:pt idx="80">
                  <c:v>2204</c:v>
                </c:pt>
                <c:pt idx="81">
                  <c:v>2202</c:v>
                </c:pt>
                <c:pt idx="82">
                  <c:v>2200</c:v>
                </c:pt>
                <c:pt idx="83">
                  <c:v>2196</c:v>
                </c:pt>
                <c:pt idx="84">
                  <c:v>2187</c:v>
                </c:pt>
                <c:pt idx="85">
                  <c:v>2183</c:v>
                </c:pt>
                <c:pt idx="86">
                  <c:v>2176</c:v>
                </c:pt>
                <c:pt idx="87">
                  <c:v>2165</c:v>
                </c:pt>
                <c:pt idx="88">
                  <c:v>2148</c:v>
                </c:pt>
                <c:pt idx="89">
                  <c:v>2142</c:v>
                </c:pt>
                <c:pt idx="90">
                  <c:v>2135</c:v>
                </c:pt>
                <c:pt idx="91">
                  <c:v>2119</c:v>
                </c:pt>
                <c:pt idx="92">
                  <c:v>2119</c:v>
                </c:pt>
                <c:pt idx="93">
                  <c:v>2111</c:v>
                </c:pt>
                <c:pt idx="94">
                  <c:v>2098</c:v>
                </c:pt>
                <c:pt idx="95">
                  <c:v>2097</c:v>
                </c:pt>
                <c:pt idx="96">
                  <c:v>2091</c:v>
                </c:pt>
                <c:pt idx="97">
                  <c:v>2087</c:v>
                </c:pt>
                <c:pt idx="98">
                  <c:v>2068</c:v>
                </c:pt>
                <c:pt idx="99">
                  <c:v>2031</c:v>
                </c:pt>
                <c:pt idx="100">
                  <c:v>2027</c:v>
                </c:pt>
                <c:pt idx="101">
                  <c:v>2026</c:v>
                </c:pt>
                <c:pt idx="102">
                  <c:v>2020</c:v>
                </c:pt>
                <c:pt idx="103">
                  <c:v>2011</c:v>
                </c:pt>
                <c:pt idx="104">
                  <c:v>2005</c:v>
                </c:pt>
                <c:pt idx="105">
                  <c:v>2000</c:v>
                </c:pt>
                <c:pt idx="106">
                  <c:v>1998</c:v>
                </c:pt>
                <c:pt idx="107">
                  <c:v>1985</c:v>
                </c:pt>
                <c:pt idx="108">
                  <c:v>1978</c:v>
                </c:pt>
                <c:pt idx="109">
                  <c:v>1967</c:v>
                </c:pt>
                <c:pt idx="110">
                  <c:v>1956</c:v>
                </c:pt>
                <c:pt idx="111">
                  <c:v>1953</c:v>
                </c:pt>
                <c:pt idx="112">
                  <c:v>1949</c:v>
                </c:pt>
                <c:pt idx="113">
                  <c:v>1934</c:v>
                </c:pt>
                <c:pt idx="114">
                  <c:v>1931</c:v>
                </c:pt>
                <c:pt idx="115">
                  <c:v>1923</c:v>
                </c:pt>
                <c:pt idx="116">
                  <c:v>1921</c:v>
                </c:pt>
                <c:pt idx="117">
                  <c:v>1916</c:v>
                </c:pt>
                <c:pt idx="118">
                  <c:v>1906</c:v>
                </c:pt>
                <c:pt idx="119">
                  <c:v>1899</c:v>
                </c:pt>
                <c:pt idx="120">
                  <c:v>1899</c:v>
                </c:pt>
                <c:pt idx="121">
                  <c:v>1895</c:v>
                </c:pt>
                <c:pt idx="122">
                  <c:v>1885</c:v>
                </c:pt>
                <c:pt idx="123">
                  <c:v>1872</c:v>
                </c:pt>
                <c:pt idx="124">
                  <c:v>1839</c:v>
                </c:pt>
                <c:pt idx="125">
                  <c:v>1802</c:v>
                </c:pt>
                <c:pt idx="126">
                  <c:v>1799</c:v>
                </c:pt>
                <c:pt idx="127">
                  <c:v>1764</c:v>
                </c:pt>
                <c:pt idx="128">
                  <c:v>1763</c:v>
                </c:pt>
                <c:pt idx="129">
                  <c:v>1762</c:v>
                </c:pt>
                <c:pt idx="130">
                  <c:v>1756</c:v>
                </c:pt>
                <c:pt idx="131">
                  <c:v>1753</c:v>
                </c:pt>
                <c:pt idx="132">
                  <c:v>1753</c:v>
                </c:pt>
                <c:pt idx="133">
                  <c:v>1752</c:v>
                </c:pt>
                <c:pt idx="134">
                  <c:v>1748</c:v>
                </c:pt>
                <c:pt idx="135">
                  <c:v>1739</c:v>
                </c:pt>
                <c:pt idx="136">
                  <c:v>1739</c:v>
                </c:pt>
                <c:pt idx="137">
                  <c:v>1738</c:v>
                </c:pt>
                <c:pt idx="138">
                  <c:v>1735</c:v>
                </c:pt>
                <c:pt idx="139">
                  <c:v>1731</c:v>
                </c:pt>
                <c:pt idx="140">
                  <c:v>1731</c:v>
                </c:pt>
                <c:pt idx="141">
                  <c:v>1711</c:v>
                </c:pt>
                <c:pt idx="142">
                  <c:v>1705</c:v>
                </c:pt>
                <c:pt idx="143">
                  <c:v>1702</c:v>
                </c:pt>
                <c:pt idx="144">
                  <c:v>1701</c:v>
                </c:pt>
                <c:pt idx="145">
                  <c:v>1699</c:v>
                </c:pt>
                <c:pt idx="146">
                  <c:v>1696</c:v>
                </c:pt>
                <c:pt idx="147">
                  <c:v>1696</c:v>
                </c:pt>
                <c:pt idx="148">
                  <c:v>1688</c:v>
                </c:pt>
                <c:pt idx="149">
                  <c:v>1684</c:v>
                </c:pt>
                <c:pt idx="150">
                  <c:v>1684</c:v>
                </c:pt>
                <c:pt idx="151">
                  <c:v>1683</c:v>
                </c:pt>
                <c:pt idx="152">
                  <c:v>1665</c:v>
                </c:pt>
                <c:pt idx="153">
                  <c:v>1656</c:v>
                </c:pt>
                <c:pt idx="154">
                  <c:v>1655</c:v>
                </c:pt>
                <c:pt idx="155">
                  <c:v>1655</c:v>
                </c:pt>
                <c:pt idx="156">
                  <c:v>1653</c:v>
                </c:pt>
                <c:pt idx="157">
                  <c:v>1648</c:v>
                </c:pt>
                <c:pt idx="158">
                  <c:v>1648</c:v>
                </c:pt>
                <c:pt idx="159">
                  <c:v>1642</c:v>
                </c:pt>
                <c:pt idx="160">
                  <c:v>1641</c:v>
                </c:pt>
                <c:pt idx="161">
                  <c:v>1639</c:v>
                </c:pt>
                <c:pt idx="162">
                  <c:v>1638</c:v>
                </c:pt>
                <c:pt idx="163">
                  <c:v>1627</c:v>
                </c:pt>
                <c:pt idx="164">
                  <c:v>1623</c:v>
                </c:pt>
                <c:pt idx="165">
                  <c:v>1618</c:v>
                </c:pt>
                <c:pt idx="166">
                  <c:v>1618</c:v>
                </c:pt>
                <c:pt idx="167">
                  <c:v>1612</c:v>
                </c:pt>
                <c:pt idx="168">
                  <c:v>1609</c:v>
                </c:pt>
                <c:pt idx="169">
                  <c:v>1609</c:v>
                </c:pt>
                <c:pt idx="170">
                  <c:v>1607</c:v>
                </c:pt>
                <c:pt idx="171">
                  <c:v>1606</c:v>
                </c:pt>
                <c:pt idx="172">
                  <c:v>1589</c:v>
                </c:pt>
                <c:pt idx="173">
                  <c:v>1587</c:v>
                </c:pt>
                <c:pt idx="174">
                  <c:v>1585</c:v>
                </c:pt>
                <c:pt idx="175">
                  <c:v>1582</c:v>
                </c:pt>
                <c:pt idx="176">
                  <c:v>1571</c:v>
                </c:pt>
                <c:pt idx="177">
                  <c:v>1571</c:v>
                </c:pt>
                <c:pt idx="178">
                  <c:v>1565</c:v>
                </c:pt>
                <c:pt idx="179">
                  <c:v>1563</c:v>
                </c:pt>
                <c:pt idx="180">
                  <c:v>1553</c:v>
                </c:pt>
                <c:pt idx="181">
                  <c:v>1549</c:v>
                </c:pt>
                <c:pt idx="182">
                  <c:v>1549</c:v>
                </c:pt>
                <c:pt idx="183">
                  <c:v>1549</c:v>
                </c:pt>
                <c:pt idx="184">
                  <c:v>1543</c:v>
                </c:pt>
                <c:pt idx="185">
                  <c:v>1541</c:v>
                </c:pt>
                <c:pt idx="186">
                  <c:v>1537</c:v>
                </c:pt>
                <c:pt idx="187">
                  <c:v>1531</c:v>
                </c:pt>
                <c:pt idx="188">
                  <c:v>1531</c:v>
                </c:pt>
                <c:pt idx="189">
                  <c:v>1527</c:v>
                </c:pt>
                <c:pt idx="190">
                  <c:v>1526</c:v>
                </c:pt>
                <c:pt idx="191">
                  <c:v>1520</c:v>
                </c:pt>
                <c:pt idx="192">
                  <c:v>1516</c:v>
                </c:pt>
                <c:pt idx="193">
                  <c:v>1515</c:v>
                </c:pt>
                <c:pt idx="194">
                  <c:v>1515</c:v>
                </c:pt>
                <c:pt idx="195">
                  <c:v>1515</c:v>
                </c:pt>
                <c:pt idx="196">
                  <c:v>1515</c:v>
                </c:pt>
                <c:pt idx="197">
                  <c:v>1515</c:v>
                </c:pt>
                <c:pt idx="198">
                  <c:v>1513</c:v>
                </c:pt>
                <c:pt idx="199">
                  <c:v>1507</c:v>
                </c:pt>
                <c:pt idx="200">
                  <c:v>1506</c:v>
                </c:pt>
                <c:pt idx="201">
                  <c:v>1501</c:v>
                </c:pt>
                <c:pt idx="202">
                  <c:v>1499</c:v>
                </c:pt>
                <c:pt idx="203">
                  <c:v>1499</c:v>
                </c:pt>
                <c:pt idx="204">
                  <c:v>1499</c:v>
                </c:pt>
                <c:pt idx="205">
                  <c:v>1494</c:v>
                </c:pt>
                <c:pt idx="206">
                  <c:v>1487</c:v>
                </c:pt>
                <c:pt idx="207">
                  <c:v>1483</c:v>
                </c:pt>
                <c:pt idx="208">
                  <c:v>1478</c:v>
                </c:pt>
                <c:pt idx="209">
                  <c:v>1474</c:v>
                </c:pt>
                <c:pt idx="210">
                  <c:v>1474</c:v>
                </c:pt>
                <c:pt idx="211">
                  <c:v>1449</c:v>
                </c:pt>
                <c:pt idx="212">
                  <c:v>1443</c:v>
                </c:pt>
                <c:pt idx="213">
                  <c:v>1441</c:v>
                </c:pt>
                <c:pt idx="214">
                  <c:v>1440</c:v>
                </c:pt>
                <c:pt idx="215">
                  <c:v>1439</c:v>
                </c:pt>
                <c:pt idx="216">
                  <c:v>1432</c:v>
                </c:pt>
                <c:pt idx="217">
                  <c:v>1429</c:v>
                </c:pt>
                <c:pt idx="218">
                  <c:v>1428</c:v>
                </c:pt>
                <c:pt idx="219">
                  <c:v>1418</c:v>
                </c:pt>
                <c:pt idx="220">
                  <c:v>1414</c:v>
                </c:pt>
                <c:pt idx="221">
                  <c:v>1409</c:v>
                </c:pt>
                <c:pt idx="222">
                  <c:v>1408</c:v>
                </c:pt>
                <c:pt idx="223">
                  <c:v>1405</c:v>
                </c:pt>
                <c:pt idx="224">
                  <c:v>1404</c:v>
                </c:pt>
                <c:pt idx="225">
                  <c:v>1404</c:v>
                </c:pt>
                <c:pt idx="226">
                  <c:v>1401</c:v>
                </c:pt>
                <c:pt idx="227">
                  <c:v>1400</c:v>
                </c:pt>
                <c:pt idx="228">
                  <c:v>1399</c:v>
                </c:pt>
                <c:pt idx="229">
                  <c:v>1397</c:v>
                </c:pt>
                <c:pt idx="230">
                  <c:v>1387</c:v>
                </c:pt>
                <c:pt idx="231">
                  <c:v>1382</c:v>
                </c:pt>
                <c:pt idx="232">
                  <c:v>1380</c:v>
                </c:pt>
                <c:pt idx="233">
                  <c:v>1377</c:v>
                </c:pt>
                <c:pt idx="234">
                  <c:v>1371</c:v>
                </c:pt>
                <c:pt idx="235">
                  <c:v>1362</c:v>
                </c:pt>
                <c:pt idx="236">
                  <c:v>1362</c:v>
                </c:pt>
                <c:pt idx="237">
                  <c:v>1356</c:v>
                </c:pt>
                <c:pt idx="238">
                  <c:v>1350</c:v>
                </c:pt>
                <c:pt idx="239">
                  <c:v>1349</c:v>
                </c:pt>
                <c:pt idx="240">
                  <c:v>1341</c:v>
                </c:pt>
                <c:pt idx="241">
                  <c:v>1340</c:v>
                </c:pt>
                <c:pt idx="242">
                  <c:v>1333</c:v>
                </c:pt>
                <c:pt idx="243">
                  <c:v>1326</c:v>
                </c:pt>
                <c:pt idx="244">
                  <c:v>1318</c:v>
                </c:pt>
                <c:pt idx="245">
                  <c:v>1317</c:v>
                </c:pt>
                <c:pt idx="246">
                  <c:v>1314</c:v>
                </c:pt>
                <c:pt idx="247">
                  <c:v>1313</c:v>
                </c:pt>
                <c:pt idx="248">
                  <c:v>1310</c:v>
                </c:pt>
                <c:pt idx="249">
                  <c:v>1308</c:v>
                </c:pt>
                <c:pt idx="250">
                  <c:v>1304</c:v>
                </c:pt>
                <c:pt idx="251">
                  <c:v>1302.5</c:v>
                </c:pt>
                <c:pt idx="252">
                  <c:v>1302.5</c:v>
                </c:pt>
                <c:pt idx="253">
                  <c:v>1302.5</c:v>
                </c:pt>
                <c:pt idx="254">
                  <c:v>1302.5</c:v>
                </c:pt>
                <c:pt idx="255">
                  <c:v>1302.5</c:v>
                </c:pt>
                <c:pt idx="256">
                  <c:v>1302.5</c:v>
                </c:pt>
                <c:pt idx="257">
                  <c:v>1302.5</c:v>
                </c:pt>
                <c:pt idx="258">
                  <c:v>1302.5</c:v>
                </c:pt>
                <c:pt idx="259">
                  <c:v>1301</c:v>
                </c:pt>
                <c:pt idx="260">
                  <c:v>1300</c:v>
                </c:pt>
                <c:pt idx="261">
                  <c:v>1297</c:v>
                </c:pt>
                <c:pt idx="262">
                  <c:v>1292</c:v>
                </c:pt>
                <c:pt idx="263">
                  <c:v>1284</c:v>
                </c:pt>
                <c:pt idx="264">
                  <c:v>1280</c:v>
                </c:pt>
                <c:pt idx="265">
                  <c:v>1280</c:v>
                </c:pt>
                <c:pt idx="266">
                  <c:v>1276</c:v>
                </c:pt>
                <c:pt idx="267">
                  <c:v>1276</c:v>
                </c:pt>
                <c:pt idx="268">
                  <c:v>1274</c:v>
                </c:pt>
                <c:pt idx="269">
                  <c:v>1270</c:v>
                </c:pt>
                <c:pt idx="270">
                  <c:v>1265</c:v>
                </c:pt>
                <c:pt idx="271">
                  <c:v>1259</c:v>
                </c:pt>
                <c:pt idx="272">
                  <c:v>1256</c:v>
                </c:pt>
                <c:pt idx="273">
                  <c:v>1242</c:v>
                </c:pt>
                <c:pt idx="274">
                  <c:v>1237</c:v>
                </c:pt>
                <c:pt idx="275">
                  <c:v>1234</c:v>
                </c:pt>
                <c:pt idx="276">
                  <c:v>1232</c:v>
                </c:pt>
                <c:pt idx="277">
                  <c:v>1229</c:v>
                </c:pt>
                <c:pt idx="278">
                  <c:v>1228</c:v>
                </c:pt>
                <c:pt idx="279">
                  <c:v>1227</c:v>
                </c:pt>
                <c:pt idx="280">
                  <c:v>1225</c:v>
                </c:pt>
                <c:pt idx="281">
                  <c:v>1222</c:v>
                </c:pt>
                <c:pt idx="282">
                  <c:v>1221</c:v>
                </c:pt>
                <c:pt idx="283">
                  <c:v>1210</c:v>
                </c:pt>
                <c:pt idx="284">
                  <c:v>1206</c:v>
                </c:pt>
                <c:pt idx="285">
                  <c:v>1202</c:v>
                </c:pt>
                <c:pt idx="286">
                  <c:v>1199</c:v>
                </c:pt>
                <c:pt idx="287">
                  <c:v>1191</c:v>
                </c:pt>
                <c:pt idx="288">
                  <c:v>1189</c:v>
                </c:pt>
                <c:pt idx="289">
                  <c:v>1184</c:v>
                </c:pt>
                <c:pt idx="290">
                  <c:v>1182</c:v>
                </c:pt>
                <c:pt idx="291">
                  <c:v>1182</c:v>
                </c:pt>
                <c:pt idx="292">
                  <c:v>1180</c:v>
                </c:pt>
                <c:pt idx="293">
                  <c:v>1165</c:v>
                </c:pt>
                <c:pt idx="294">
                  <c:v>1163</c:v>
                </c:pt>
                <c:pt idx="295">
                  <c:v>1163</c:v>
                </c:pt>
                <c:pt idx="296">
                  <c:v>1160</c:v>
                </c:pt>
                <c:pt idx="297">
                  <c:v>1160</c:v>
                </c:pt>
                <c:pt idx="298">
                  <c:v>1158</c:v>
                </c:pt>
                <c:pt idx="299">
                  <c:v>1151</c:v>
                </c:pt>
                <c:pt idx="300">
                  <c:v>1147</c:v>
                </c:pt>
                <c:pt idx="301">
                  <c:v>1143</c:v>
                </c:pt>
                <c:pt idx="302">
                  <c:v>1137</c:v>
                </c:pt>
                <c:pt idx="303">
                  <c:v>1137</c:v>
                </c:pt>
                <c:pt idx="304">
                  <c:v>1130</c:v>
                </c:pt>
                <c:pt idx="305">
                  <c:v>1127</c:v>
                </c:pt>
                <c:pt idx="306">
                  <c:v>1125</c:v>
                </c:pt>
                <c:pt idx="307">
                  <c:v>1122</c:v>
                </c:pt>
                <c:pt idx="308">
                  <c:v>1117</c:v>
                </c:pt>
                <c:pt idx="309">
                  <c:v>1115</c:v>
                </c:pt>
                <c:pt idx="310">
                  <c:v>1115</c:v>
                </c:pt>
                <c:pt idx="311">
                  <c:v>1114</c:v>
                </c:pt>
                <c:pt idx="312">
                  <c:v>1112</c:v>
                </c:pt>
                <c:pt idx="313">
                  <c:v>1111</c:v>
                </c:pt>
                <c:pt idx="314">
                  <c:v>1110</c:v>
                </c:pt>
                <c:pt idx="315">
                  <c:v>1110</c:v>
                </c:pt>
                <c:pt idx="316">
                  <c:v>1107</c:v>
                </c:pt>
                <c:pt idx="317">
                  <c:v>1106</c:v>
                </c:pt>
                <c:pt idx="318">
                  <c:v>1104</c:v>
                </c:pt>
                <c:pt idx="319">
                  <c:v>1104</c:v>
                </c:pt>
                <c:pt idx="320">
                  <c:v>1096</c:v>
                </c:pt>
                <c:pt idx="321">
                  <c:v>1096</c:v>
                </c:pt>
                <c:pt idx="322">
                  <c:v>1094</c:v>
                </c:pt>
                <c:pt idx="323">
                  <c:v>1093</c:v>
                </c:pt>
                <c:pt idx="324">
                  <c:v>1092</c:v>
                </c:pt>
                <c:pt idx="325">
                  <c:v>1091</c:v>
                </c:pt>
                <c:pt idx="326">
                  <c:v>1081</c:v>
                </c:pt>
                <c:pt idx="327">
                  <c:v>1079</c:v>
                </c:pt>
                <c:pt idx="328">
                  <c:v>1074</c:v>
                </c:pt>
                <c:pt idx="329">
                  <c:v>1073</c:v>
                </c:pt>
                <c:pt idx="330">
                  <c:v>1073</c:v>
                </c:pt>
                <c:pt idx="331">
                  <c:v>1067</c:v>
                </c:pt>
                <c:pt idx="332">
                  <c:v>1064</c:v>
                </c:pt>
                <c:pt idx="333">
                  <c:v>1063</c:v>
                </c:pt>
                <c:pt idx="334">
                  <c:v>1060</c:v>
                </c:pt>
                <c:pt idx="335">
                  <c:v>1058</c:v>
                </c:pt>
                <c:pt idx="336">
                  <c:v>1056</c:v>
                </c:pt>
                <c:pt idx="337">
                  <c:v>1053</c:v>
                </c:pt>
                <c:pt idx="338">
                  <c:v>1053</c:v>
                </c:pt>
                <c:pt idx="339">
                  <c:v>1045</c:v>
                </c:pt>
                <c:pt idx="340">
                  <c:v>1045</c:v>
                </c:pt>
                <c:pt idx="341">
                  <c:v>1025</c:v>
                </c:pt>
                <c:pt idx="342">
                  <c:v>1025</c:v>
                </c:pt>
                <c:pt idx="343">
                  <c:v>1019</c:v>
                </c:pt>
                <c:pt idx="344">
                  <c:v>1019</c:v>
                </c:pt>
                <c:pt idx="345">
                  <c:v>1017</c:v>
                </c:pt>
                <c:pt idx="346">
                  <c:v>1014</c:v>
                </c:pt>
                <c:pt idx="347">
                  <c:v>1008</c:v>
                </c:pt>
                <c:pt idx="348">
                  <c:v>1007</c:v>
                </c:pt>
                <c:pt idx="349">
                  <c:v>1006</c:v>
                </c:pt>
                <c:pt idx="350">
                  <c:v>1004</c:v>
                </c:pt>
                <c:pt idx="351">
                  <c:v>999</c:v>
                </c:pt>
                <c:pt idx="352">
                  <c:v>998</c:v>
                </c:pt>
                <c:pt idx="353">
                  <c:v>995</c:v>
                </c:pt>
                <c:pt idx="354">
                  <c:v>993</c:v>
                </c:pt>
                <c:pt idx="355">
                  <c:v>991</c:v>
                </c:pt>
                <c:pt idx="356">
                  <c:v>989</c:v>
                </c:pt>
                <c:pt idx="357">
                  <c:v>987</c:v>
                </c:pt>
                <c:pt idx="358">
                  <c:v>986</c:v>
                </c:pt>
                <c:pt idx="359">
                  <c:v>985</c:v>
                </c:pt>
                <c:pt idx="360">
                  <c:v>984</c:v>
                </c:pt>
                <c:pt idx="361">
                  <c:v>979</c:v>
                </c:pt>
                <c:pt idx="362">
                  <c:v>969</c:v>
                </c:pt>
                <c:pt idx="363">
                  <c:v>966</c:v>
                </c:pt>
                <c:pt idx="364">
                  <c:v>963</c:v>
                </c:pt>
                <c:pt idx="365">
                  <c:v>959</c:v>
                </c:pt>
                <c:pt idx="366">
                  <c:v>958</c:v>
                </c:pt>
                <c:pt idx="367">
                  <c:v>952</c:v>
                </c:pt>
                <c:pt idx="368">
                  <c:v>951</c:v>
                </c:pt>
                <c:pt idx="369">
                  <c:v>945</c:v>
                </c:pt>
                <c:pt idx="370">
                  <c:v>944</c:v>
                </c:pt>
                <c:pt idx="371">
                  <c:v>940</c:v>
                </c:pt>
                <c:pt idx="372">
                  <c:v>935</c:v>
                </c:pt>
                <c:pt idx="373">
                  <c:v>924</c:v>
                </c:pt>
                <c:pt idx="374">
                  <c:v>922</c:v>
                </c:pt>
                <c:pt idx="375">
                  <c:v>920</c:v>
                </c:pt>
                <c:pt idx="376">
                  <c:v>918</c:v>
                </c:pt>
                <c:pt idx="377">
                  <c:v>918</c:v>
                </c:pt>
                <c:pt idx="378">
                  <c:v>916</c:v>
                </c:pt>
                <c:pt idx="379">
                  <c:v>914</c:v>
                </c:pt>
                <c:pt idx="380">
                  <c:v>912</c:v>
                </c:pt>
                <c:pt idx="381">
                  <c:v>911</c:v>
                </c:pt>
                <c:pt idx="382">
                  <c:v>908</c:v>
                </c:pt>
                <c:pt idx="383">
                  <c:v>906</c:v>
                </c:pt>
                <c:pt idx="384">
                  <c:v>906</c:v>
                </c:pt>
                <c:pt idx="385">
                  <c:v>904</c:v>
                </c:pt>
                <c:pt idx="386">
                  <c:v>901</c:v>
                </c:pt>
                <c:pt idx="387">
                  <c:v>900</c:v>
                </c:pt>
                <c:pt idx="388">
                  <c:v>900</c:v>
                </c:pt>
                <c:pt idx="389">
                  <c:v>898</c:v>
                </c:pt>
                <c:pt idx="390">
                  <c:v>897</c:v>
                </c:pt>
                <c:pt idx="391">
                  <c:v>897</c:v>
                </c:pt>
                <c:pt idx="392">
                  <c:v>897</c:v>
                </c:pt>
                <c:pt idx="393">
                  <c:v>893</c:v>
                </c:pt>
                <c:pt idx="394">
                  <c:v>888</c:v>
                </c:pt>
                <c:pt idx="395">
                  <c:v>885</c:v>
                </c:pt>
                <c:pt idx="396">
                  <c:v>885</c:v>
                </c:pt>
                <c:pt idx="397">
                  <c:v>881</c:v>
                </c:pt>
                <c:pt idx="398">
                  <c:v>879</c:v>
                </c:pt>
                <c:pt idx="399">
                  <c:v>878</c:v>
                </c:pt>
                <c:pt idx="400">
                  <c:v>873</c:v>
                </c:pt>
                <c:pt idx="401">
                  <c:v>870</c:v>
                </c:pt>
                <c:pt idx="402">
                  <c:v>869</c:v>
                </c:pt>
                <c:pt idx="403">
                  <c:v>869</c:v>
                </c:pt>
                <c:pt idx="404">
                  <c:v>856</c:v>
                </c:pt>
                <c:pt idx="405">
                  <c:v>856</c:v>
                </c:pt>
                <c:pt idx="406">
                  <c:v>856</c:v>
                </c:pt>
                <c:pt idx="407">
                  <c:v>851</c:v>
                </c:pt>
                <c:pt idx="408">
                  <c:v>849</c:v>
                </c:pt>
                <c:pt idx="409">
                  <c:v>843</c:v>
                </c:pt>
                <c:pt idx="410">
                  <c:v>836</c:v>
                </c:pt>
                <c:pt idx="411">
                  <c:v>831</c:v>
                </c:pt>
                <c:pt idx="412">
                  <c:v>828</c:v>
                </c:pt>
                <c:pt idx="413">
                  <c:v>818</c:v>
                </c:pt>
                <c:pt idx="414">
                  <c:v>813</c:v>
                </c:pt>
                <c:pt idx="415">
                  <c:v>800</c:v>
                </c:pt>
                <c:pt idx="416">
                  <c:v>796</c:v>
                </c:pt>
                <c:pt idx="417">
                  <c:v>795</c:v>
                </c:pt>
                <c:pt idx="418">
                  <c:v>793</c:v>
                </c:pt>
                <c:pt idx="419">
                  <c:v>792</c:v>
                </c:pt>
                <c:pt idx="420">
                  <c:v>792</c:v>
                </c:pt>
                <c:pt idx="421">
                  <c:v>783</c:v>
                </c:pt>
                <c:pt idx="422">
                  <c:v>781</c:v>
                </c:pt>
                <c:pt idx="423">
                  <c:v>775</c:v>
                </c:pt>
                <c:pt idx="424">
                  <c:v>774</c:v>
                </c:pt>
                <c:pt idx="425">
                  <c:v>768</c:v>
                </c:pt>
                <c:pt idx="426">
                  <c:v>767</c:v>
                </c:pt>
                <c:pt idx="427">
                  <c:v>764</c:v>
                </c:pt>
                <c:pt idx="428">
                  <c:v>757</c:v>
                </c:pt>
                <c:pt idx="429">
                  <c:v>755</c:v>
                </c:pt>
                <c:pt idx="430">
                  <c:v>753</c:v>
                </c:pt>
                <c:pt idx="431">
                  <c:v>747</c:v>
                </c:pt>
                <c:pt idx="432">
                  <c:v>744</c:v>
                </c:pt>
                <c:pt idx="433">
                  <c:v>743</c:v>
                </c:pt>
                <c:pt idx="434">
                  <c:v>743</c:v>
                </c:pt>
                <c:pt idx="435">
                  <c:v>738</c:v>
                </c:pt>
                <c:pt idx="436">
                  <c:v>736</c:v>
                </c:pt>
                <c:pt idx="437">
                  <c:v>736</c:v>
                </c:pt>
                <c:pt idx="438">
                  <c:v>734</c:v>
                </c:pt>
                <c:pt idx="439">
                  <c:v>734</c:v>
                </c:pt>
                <c:pt idx="440">
                  <c:v>734</c:v>
                </c:pt>
                <c:pt idx="441">
                  <c:v>733</c:v>
                </c:pt>
                <c:pt idx="442">
                  <c:v>730</c:v>
                </c:pt>
                <c:pt idx="443">
                  <c:v>729</c:v>
                </c:pt>
                <c:pt idx="444">
                  <c:v>729</c:v>
                </c:pt>
                <c:pt idx="445">
                  <c:v>728</c:v>
                </c:pt>
                <c:pt idx="446">
                  <c:v>720</c:v>
                </c:pt>
                <c:pt idx="447">
                  <c:v>718</c:v>
                </c:pt>
                <c:pt idx="448">
                  <c:v>717</c:v>
                </c:pt>
                <c:pt idx="449">
                  <c:v>714</c:v>
                </c:pt>
                <c:pt idx="450">
                  <c:v>701</c:v>
                </c:pt>
                <c:pt idx="451">
                  <c:v>700</c:v>
                </c:pt>
                <c:pt idx="452">
                  <c:v>692</c:v>
                </c:pt>
                <c:pt idx="453">
                  <c:v>686</c:v>
                </c:pt>
                <c:pt idx="454">
                  <c:v>685</c:v>
                </c:pt>
                <c:pt idx="455">
                  <c:v>677</c:v>
                </c:pt>
                <c:pt idx="456">
                  <c:v>673</c:v>
                </c:pt>
                <c:pt idx="457">
                  <c:v>671</c:v>
                </c:pt>
                <c:pt idx="458">
                  <c:v>667</c:v>
                </c:pt>
                <c:pt idx="459">
                  <c:v>665</c:v>
                </c:pt>
                <c:pt idx="460">
                  <c:v>650</c:v>
                </c:pt>
                <c:pt idx="461">
                  <c:v>647</c:v>
                </c:pt>
                <c:pt idx="462">
                  <c:v>645</c:v>
                </c:pt>
                <c:pt idx="463">
                  <c:v>642</c:v>
                </c:pt>
                <c:pt idx="464">
                  <c:v>641</c:v>
                </c:pt>
                <c:pt idx="465">
                  <c:v>641</c:v>
                </c:pt>
                <c:pt idx="466">
                  <c:v>640</c:v>
                </c:pt>
                <c:pt idx="467">
                  <c:v>637</c:v>
                </c:pt>
                <c:pt idx="468">
                  <c:v>630</c:v>
                </c:pt>
                <c:pt idx="469">
                  <c:v>624</c:v>
                </c:pt>
                <c:pt idx="470">
                  <c:v>623</c:v>
                </c:pt>
                <c:pt idx="471">
                  <c:v>619</c:v>
                </c:pt>
                <c:pt idx="472">
                  <c:v>619</c:v>
                </c:pt>
                <c:pt idx="473">
                  <c:v>615</c:v>
                </c:pt>
                <c:pt idx="474">
                  <c:v>613</c:v>
                </c:pt>
                <c:pt idx="475">
                  <c:v>612</c:v>
                </c:pt>
                <c:pt idx="476">
                  <c:v>612</c:v>
                </c:pt>
                <c:pt idx="477">
                  <c:v>605</c:v>
                </c:pt>
                <c:pt idx="478">
                  <c:v>605</c:v>
                </c:pt>
                <c:pt idx="479">
                  <c:v>603</c:v>
                </c:pt>
                <c:pt idx="480">
                  <c:v>599</c:v>
                </c:pt>
                <c:pt idx="481">
                  <c:v>599</c:v>
                </c:pt>
                <c:pt idx="482">
                  <c:v>599</c:v>
                </c:pt>
                <c:pt idx="483">
                  <c:v>588</c:v>
                </c:pt>
                <c:pt idx="484">
                  <c:v>581</c:v>
                </c:pt>
                <c:pt idx="485">
                  <c:v>578</c:v>
                </c:pt>
                <c:pt idx="486">
                  <c:v>576</c:v>
                </c:pt>
                <c:pt idx="487">
                  <c:v>572</c:v>
                </c:pt>
                <c:pt idx="488">
                  <c:v>563</c:v>
                </c:pt>
                <c:pt idx="489">
                  <c:v>562</c:v>
                </c:pt>
                <c:pt idx="490">
                  <c:v>557</c:v>
                </c:pt>
                <c:pt idx="491">
                  <c:v>557</c:v>
                </c:pt>
                <c:pt idx="492">
                  <c:v>553</c:v>
                </c:pt>
                <c:pt idx="493">
                  <c:v>552</c:v>
                </c:pt>
                <c:pt idx="494">
                  <c:v>549</c:v>
                </c:pt>
                <c:pt idx="495">
                  <c:v>530</c:v>
                </c:pt>
                <c:pt idx="496">
                  <c:v>502</c:v>
                </c:pt>
                <c:pt idx="497">
                  <c:v>493</c:v>
                </c:pt>
                <c:pt idx="498">
                  <c:v>474</c:v>
                </c:pt>
                <c:pt idx="499">
                  <c:v>467</c:v>
                </c:pt>
                <c:pt idx="500">
                  <c:v>454</c:v>
                </c:pt>
                <c:pt idx="501">
                  <c:v>452</c:v>
                </c:pt>
                <c:pt idx="502">
                  <c:v>450</c:v>
                </c:pt>
                <c:pt idx="503">
                  <c:v>450</c:v>
                </c:pt>
                <c:pt idx="504">
                  <c:v>450</c:v>
                </c:pt>
                <c:pt idx="505">
                  <c:v>677</c:v>
                </c:pt>
                <c:pt idx="506">
                  <c:v>716</c:v>
                </c:pt>
                <c:pt idx="507">
                  <c:v>918</c:v>
                </c:pt>
                <c:pt idx="508">
                  <c:v>1438</c:v>
                </c:pt>
                <c:pt idx="509">
                  <c:v>2827</c:v>
                </c:pt>
              </c:numCache>
            </c:numRef>
          </c:xVal>
          <c:yVal>
            <c:numRef>
              <c:f>DATA!$J$2:$J$511</c:f>
              <c:numCache>
                <c:formatCode>"$"#,##0.00</c:formatCode>
                <c:ptCount val="510"/>
                <c:pt idx="0">
                  <c:v>2342400</c:v>
                </c:pt>
                <c:pt idx="1">
                  <c:v>764200</c:v>
                </c:pt>
                <c:pt idx="2">
                  <c:v>2219800</c:v>
                </c:pt>
                <c:pt idx="3">
                  <c:v>1836900</c:v>
                </c:pt>
                <c:pt idx="4">
                  <c:v>2638200</c:v>
                </c:pt>
                <c:pt idx="5">
                  <c:v>1869600</c:v>
                </c:pt>
                <c:pt idx="6">
                  <c:v>1695900</c:v>
                </c:pt>
                <c:pt idx="7">
                  <c:v>1435400</c:v>
                </c:pt>
                <c:pt idx="8">
                  <c:v>1974300</c:v>
                </c:pt>
                <c:pt idx="9">
                  <c:v>3144300</c:v>
                </c:pt>
                <c:pt idx="10">
                  <c:v>1947500</c:v>
                </c:pt>
                <c:pt idx="11">
                  <c:v>1507400</c:v>
                </c:pt>
                <c:pt idx="12">
                  <c:v>1074500</c:v>
                </c:pt>
                <c:pt idx="13">
                  <c:v>3361300</c:v>
                </c:pt>
                <c:pt idx="14">
                  <c:v>1610600</c:v>
                </c:pt>
                <c:pt idx="15">
                  <c:v>1319000</c:v>
                </c:pt>
                <c:pt idx="16">
                  <c:v>1710900</c:v>
                </c:pt>
                <c:pt idx="17">
                  <c:v>1472700</c:v>
                </c:pt>
                <c:pt idx="18">
                  <c:v>1577500</c:v>
                </c:pt>
                <c:pt idx="19">
                  <c:v>1982600</c:v>
                </c:pt>
                <c:pt idx="20">
                  <c:v>1016400</c:v>
                </c:pt>
                <c:pt idx="21">
                  <c:v>882186.4706</c:v>
                </c:pt>
                <c:pt idx="22">
                  <c:v>1190800</c:v>
                </c:pt>
                <c:pt idx="23">
                  <c:v>1631000</c:v>
                </c:pt>
                <c:pt idx="24">
                  <c:v>1852100</c:v>
                </c:pt>
                <c:pt idx="25">
                  <c:v>1470600</c:v>
                </c:pt>
                <c:pt idx="26">
                  <c:v>2099900</c:v>
                </c:pt>
                <c:pt idx="27">
                  <c:v>1456000</c:v>
                </c:pt>
                <c:pt idx="28">
                  <c:v>1842600</c:v>
                </c:pt>
                <c:pt idx="29">
                  <c:v>1731200</c:v>
                </c:pt>
                <c:pt idx="30">
                  <c:v>1842500</c:v>
                </c:pt>
                <c:pt idx="31">
                  <c:v>1429800</c:v>
                </c:pt>
                <c:pt idx="32">
                  <c:v>2603900</c:v>
                </c:pt>
                <c:pt idx="33">
                  <c:v>1783200</c:v>
                </c:pt>
                <c:pt idx="34">
                  <c:v>2110500</c:v>
                </c:pt>
                <c:pt idx="35">
                  <c:v>1441800</c:v>
                </c:pt>
                <c:pt idx="36">
                  <c:v>2746900</c:v>
                </c:pt>
                <c:pt idx="37">
                  <c:v>1351600</c:v>
                </c:pt>
                <c:pt idx="38">
                  <c:v>2786700</c:v>
                </c:pt>
                <c:pt idx="39">
                  <c:v>1346100</c:v>
                </c:pt>
                <c:pt idx="40">
                  <c:v>1451000</c:v>
                </c:pt>
                <c:pt idx="41">
                  <c:v>1213100</c:v>
                </c:pt>
                <c:pt idx="42">
                  <c:v>795500</c:v>
                </c:pt>
                <c:pt idx="43">
                  <c:v>988200</c:v>
                </c:pt>
                <c:pt idx="44">
                  <c:v>1396300</c:v>
                </c:pt>
                <c:pt idx="45">
                  <c:v>1381300</c:v>
                </c:pt>
                <c:pt idx="46">
                  <c:v>773600</c:v>
                </c:pt>
                <c:pt idx="47">
                  <c:v>730000</c:v>
                </c:pt>
                <c:pt idx="48">
                  <c:v>1845500</c:v>
                </c:pt>
                <c:pt idx="49">
                  <c:v>1329000</c:v>
                </c:pt>
                <c:pt idx="50">
                  <c:v>764200</c:v>
                </c:pt>
                <c:pt idx="51">
                  <c:v>1692100</c:v>
                </c:pt>
                <c:pt idx="52">
                  <c:v>2449400</c:v>
                </c:pt>
                <c:pt idx="53">
                  <c:v>1757200</c:v>
                </c:pt>
                <c:pt idx="54">
                  <c:v>1312400</c:v>
                </c:pt>
                <c:pt idx="55">
                  <c:v>1467000</c:v>
                </c:pt>
                <c:pt idx="56">
                  <c:v>1467000</c:v>
                </c:pt>
                <c:pt idx="57">
                  <c:v>871200</c:v>
                </c:pt>
                <c:pt idx="58">
                  <c:v>1677900</c:v>
                </c:pt>
                <c:pt idx="59">
                  <c:v>1528300</c:v>
                </c:pt>
                <c:pt idx="60">
                  <c:v>764200</c:v>
                </c:pt>
                <c:pt idx="61">
                  <c:v>1524500</c:v>
                </c:pt>
                <c:pt idx="62">
                  <c:v>1261600</c:v>
                </c:pt>
                <c:pt idx="63">
                  <c:v>1098300</c:v>
                </c:pt>
                <c:pt idx="64">
                  <c:v>1201200</c:v>
                </c:pt>
                <c:pt idx="65">
                  <c:v>634300</c:v>
                </c:pt>
                <c:pt idx="66">
                  <c:v>1097400</c:v>
                </c:pt>
                <c:pt idx="67">
                  <c:v>740600</c:v>
                </c:pt>
                <c:pt idx="68">
                  <c:v>2467700</c:v>
                </c:pt>
                <c:pt idx="69">
                  <c:v>1007300</c:v>
                </c:pt>
                <c:pt idx="70">
                  <c:v>1350700</c:v>
                </c:pt>
                <c:pt idx="71">
                  <c:v>1285500</c:v>
                </c:pt>
                <c:pt idx="72">
                  <c:v>2144200</c:v>
                </c:pt>
                <c:pt idx="73">
                  <c:v>1205700</c:v>
                </c:pt>
                <c:pt idx="74">
                  <c:v>1585500</c:v>
                </c:pt>
                <c:pt idx="75">
                  <c:v>1744200</c:v>
                </c:pt>
                <c:pt idx="76">
                  <c:v>827100</c:v>
                </c:pt>
                <c:pt idx="77">
                  <c:v>968300</c:v>
                </c:pt>
                <c:pt idx="78">
                  <c:v>1305900</c:v>
                </c:pt>
                <c:pt idx="79">
                  <c:v>1402100</c:v>
                </c:pt>
                <c:pt idx="80">
                  <c:v>1107600</c:v>
                </c:pt>
                <c:pt idx="81">
                  <c:v>1620400</c:v>
                </c:pt>
                <c:pt idx="82">
                  <c:v>1692000</c:v>
                </c:pt>
                <c:pt idx="83">
                  <c:v>1528700</c:v>
                </c:pt>
                <c:pt idx="84">
                  <c:v>1092700</c:v>
                </c:pt>
                <c:pt idx="85">
                  <c:v>1393200</c:v>
                </c:pt>
                <c:pt idx="86">
                  <c:v>1172900</c:v>
                </c:pt>
                <c:pt idx="87">
                  <c:v>1182400</c:v>
                </c:pt>
                <c:pt idx="88">
                  <c:v>1242600</c:v>
                </c:pt>
                <c:pt idx="89">
                  <c:v>954900</c:v>
                </c:pt>
                <c:pt idx="90">
                  <c:v>662800</c:v>
                </c:pt>
                <c:pt idx="91">
                  <c:v>1177800</c:v>
                </c:pt>
                <c:pt idx="92">
                  <c:v>1624800</c:v>
                </c:pt>
                <c:pt idx="93">
                  <c:v>763900</c:v>
                </c:pt>
                <c:pt idx="94">
                  <c:v>1402500</c:v>
                </c:pt>
                <c:pt idx="95">
                  <c:v>1591200</c:v>
                </c:pt>
                <c:pt idx="96">
                  <c:v>992000</c:v>
                </c:pt>
                <c:pt idx="97">
                  <c:v>684000</c:v>
                </c:pt>
                <c:pt idx="98">
                  <c:v>1207800</c:v>
                </c:pt>
                <c:pt idx="99">
                  <c:v>1655500</c:v>
                </c:pt>
                <c:pt idx="100">
                  <c:v>640600</c:v>
                </c:pt>
                <c:pt idx="101">
                  <c:v>1208200</c:v>
                </c:pt>
                <c:pt idx="102">
                  <c:v>1306100</c:v>
                </c:pt>
                <c:pt idx="103">
                  <c:v>1126200</c:v>
                </c:pt>
                <c:pt idx="104">
                  <c:v>1076900</c:v>
                </c:pt>
                <c:pt idx="105">
                  <c:v>1847200</c:v>
                </c:pt>
                <c:pt idx="106">
                  <c:v>943600</c:v>
                </c:pt>
                <c:pt idx="107">
                  <c:v>1623400</c:v>
                </c:pt>
                <c:pt idx="108">
                  <c:v>1118800</c:v>
                </c:pt>
                <c:pt idx="109">
                  <c:v>994000</c:v>
                </c:pt>
                <c:pt idx="110">
                  <c:v>1499500</c:v>
                </c:pt>
                <c:pt idx="111">
                  <c:v>1932200</c:v>
                </c:pt>
                <c:pt idx="112">
                  <c:v>567200</c:v>
                </c:pt>
                <c:pt idx="113">
                  <c:v>805800</c:v>
                </c:pt>
                <c:pt idx="114">
                  <c:v>1300100</c:v>
                </c:pt>
                <c:pt idx="115">
                  <c:v>585900</c:v>
                </c:pt>
                <c:pt idx="116">
                  <c:v>613100</c:v>
                </c:pt>
                <c:pt idx="117">
                  <c:v>1277200</c:v>
                </c:pt>
                <c:pt idx="118">
                  <c:v>951500</c:v>
                </c:pt>
                <c:pt idx="119">
                  <c:v>1180000</c:v>
                </c:pt>
                <c:pt idx="120">
                  <c:v>1241300</c:v>
                </c:pt>
                <c:pt idx="121">
                  <c:v>1396600</c:v>
                </c:pt>
                <c:pt idx="122">
                  <c:v>1312800</c:v>
                </c:pt>
                <c:pt idx="123">
                  <c:v>1744600</c:v>
                </c:pt>
                <c:pt idx="124">
                  <c:v>1120700</c:v>
                </c:pt>
                <c:pt idx="125">
                  <c:v>1067700</c:v>
                </c:pt>
                <c:pt idx="126">
                  <c:v>1710400</c:v>
                </c:pt>
                <c:pt idx="127">
                  <c:v>822500</c:v>
                </c:pt>
                <c:pt idx="128">
                  <c:v>634000</c:v>
                </c:pt>
                <c:pt idx="129">
                  <c:v>898100</c:v>
                </c:pt>
                <c:pt idx="130">
                  <c:v>1311100</c:v>
                </c:pt>
                <c:pt idx="131">
                  <c:v>1902000</c:v>
                </c:pt>
                <c:pt idx="132">
                  <c:v>1902000</c:v>
                </c:pt>
                <c:pt idx="133">
                  <c:v>664600</c:v>
                </c:pt>
                <c:pt idx="134">
                  <c:v>1196200</c:v>
                </c:pt>
                <c:pt idx="135">
                  <c:v>510200</c:v>
                </c:pt>
                <c:pt idx="136">
                  <c:v>944800</c:v>
                </c:pt>
                <c:pt idx="137">
                  <c:v>1887000</c:v>
                </c:pt>
                <c:pt idx="138">
                  <c:v>986600</c:v>
                </c:pt>
                <c:pt idx="139">
                  <c:v>695800</c:v>
                </c:pt>
                <c:pt idx="140">
                  <c:v>1133700</c:v>
                </c:pt>
                <c:pt idx="141">
                  <c:v>1034400</c:v>
                </c:pt>
                <c:pt idx="142">
                  <c:v>1195400</c:v>
                </c:pt>
                <c:pt idx="143">
                  <c:v>1011900</c:v>
                </c:pt>
                <c:pt idx="144">
                  <c:v>861400</c:v>
                </c:pt>
                <c:pt idx="145">
                  <c:v>1924600</c:v>
                </c:pt>
                <c:pt idx="146">
                  <c:v>1402800</c:v>
                </c:pt>
                <c:pt idx="147">
                  <c:v>1592100</c:v>
                </c:pt>
                <c:pt idx="148">
                  <c:v>575900</c:v>
                </c:pt>
                <c:pt idx="149">
                  <c:v>975400</c:v>
                </c:pt>
                <c:pt idx="150">
                  <c:v>1095700</c:v>
                </c:pt>
                <c:pt idx="151">
                  <c:v>714000</c:v>
                </c:pt>
                <c:pt idx="152">
                  <c:v>1119700</c:v>
                </c:pt>
                <c:pt idx="153">
                  <c:v>1050400</c:v>
                </c:pt>
                <c:pt idx="154">
                  <c:v>1021200</c:v>
                </c:pt>
                <c:pt idx="155">
                  <c:v>1021200</c:v>
                </c:pt>
                <c:pt idx="156">
                  <c:v>636100</c:v>
                </c:pt>
                <c:pt idx="157">
                  <c:v>1242000</c:v>
                </c:pt>
                <c:pt idx="158">
                  <c:v>1383500</c:v>
                </c:pt>
                <c:pt idx="159">
                  <c:v>848200</c:v>
                </c:pt>
                <c:pt idx="160">
                  <c:v>1149600</c:v>
                </c:pt>
                <c:pt idx="161">
                  <c:v>908100</c:v>
                </c:pt>
                <c:pt idx="162">
                  <c:v>1035200</c:v>
                </c:pt>
                <c:pt idx="163">
                  <c:v>1793900</c:v>
                </c:pt>
                <c:pt idx="164">
                  <c:v>983500</c:v>
                </c:pt>
                <c:pt idx="165">
                  <c:v>1038100</c:v>
                </c:pt>
                <c:pt idx="166">
                  <c:v>1596600</c:v>
                </c:pt>
                <c:pt idx="167">
                  <c:v>1024600</c:v>
                </c:pt>
                <c:pt idx="168">
                  <c:v>546600</c:v>
                </c:pt>
                <c:pt idx="169">
                  <c:v>1700900</c:v>
                </c:pt>
                <c:pt idx="170">
                  <c:v>1060000</c:v>
                </c:pt>
                <c:pt idx="171">
                  <c:v>1509000</c:v>
                </c:pt>
                <c:pt idx="172">
                  <c:v>475300</c:v>
                </c:pt>
                <c:pt idx="173">
                  <c:v>840800</c:v>
                </c:pt>
                <c:pt idx="174">
                  <c:v>662000</c:v>
                </c:pt>
                <c:pt idx="175">
                  <c:v>1269800</c:v>
                </c:pt>
                <c:pt idx="176">
                  <c:v>1017300</c:v>
                </c:pt>
                <c:pt idx="177">
                  <c:v>1017300</c:v>
                </c:pt>
                <c:pt idx="178">
                  <c:v>827600</c:v>
                </c:pt>
                <c:pt idx="179">
                  <c:v>1642800</c:v>
                </c:pt>
                <c:pt idx="180">
                  <c:v>835800</c:v>
                </c:pt>
                <c:pt idx="181">
                  <c:v>475200</c:v>
                </c:pt>
                <c:pt idx="182">
                  <c:v>515600</c:v>
                </c:pt>
                <c:pt idx="183">
                  <c:v>1280700</c:v>
                </c:pt>
                <c:pt idx="184">
                  <c:v>1171700</c:v>
                </c:pt>
                <c:pt idx="185">
                  <c:v>876800</c:v>
                </c:pt>
                <c:pt idx="186">
                  <c:v>1629300</c:v>
                </c:pt>
                <c:pt idx="187">
                  <c:v>453500</c:v>
                </c:pt>
                <c:pt idx="188">
                  <c:v>1277500</c:v>
                </c:pt>
                <c:pt idx="189">
                  <c:v>584100</c:v>
                </c:pt>
                <c:pt idx="190">
                  <c:v>931300</c:v>
                </c:pt>
                <c:pt idx="191">
                  <c:v>764200</c:v>
                </c:pt>
                <c:pt idx="192">
                  <c:v>835500</c:v>
                </c:pt>
                <c:pt idx="193">
                  <c:v>528500</c:v>
                </c:pt>
                <c:pt idx="194">
                  <c:v>836600</c:v>
                </c:pt>
                <c:pt idx="195">
                  <c:v>1075200</c:v>
                </c:pt>
                <c:pt idx="196">
                  <c:v>1075200</c:v>
                </c:pt>
                <c:pt idx="197">
                  <c:v>1473900</c:v>
                </c:pt>
                <c:pt idx="198">
                  <c:v>716600</c:v>
                </c:pt>
                <c:pt idx="199">
                  <c:v>807000</c:v>
                </c:pt>
                <c:pt idx="200">
                  <c:v>789500</c:v>
                </c:pt>
                <c:pt idx="201">
                  <c:v>1094700</c:v>
                </c:pt>
                <c:pt idx="202">
                  <c:v>741300</c:v>
                </c:pt>
                <c:pt idx="203">
                  <c:v>933500</c:v>
                </c:pt>
                <c:pt idx="204">
                  <c:v>1132800</c:v>
                </c:pt>
                <c:pt idx="205">
                  <c:v>568000</c:v>
                </c:pt>
                <c:pt idx="206">
                  <c:v>1084100</c:v>
                </c:pt>
                <c:pt idx="207">
                  <c:v>1349900</c:v>
                </c:pt>
                <c:pt idx="208">
                  <c:v>1665300</c:v>
                </c:pt>
                <c:pt idx="209">
                  <c:v>982200</c:v>
                </c:pt>
                <c:pt idx="210">
                  <c:v>984300</c:v>
                </c:pt>
                <c:pt idx="211">
                  <c:v>1287200</c:v>
                </c:pt>
                <c:pt idx="212">
                  <c:v>1144700</c:v>
                </c:pt>
                <c:pt idx="213">
                  <c:v>1699500</c:v>
                </c:pt>
                <c:pt idx="214">
                  <c:v>472200</c:v>
                </c:pt>
                <c:pt idx="215">
                  <c:v>1707400</c:v>
                </c:pt>
                <c:pt idx="216">
                  <c:v>404100</c:v>
                </c:pt>
                <c:pt idx="217">
                  <c:v>736200</c:v>
                </c:pt>
                <c:pt idx="218">
                  <c:v>951700</c:v>
                </c:pt>
                <c:pt idx="219">
                  <c:v>475800</c:v>
                </c:pt>
                <c:pt idx="220">
                  <c:v>892400</c:v>
                </c:pt>
                <c:pt idx="221">
                  <c:v>697600</c:v>
                </c:pt>
                <c:pt idx="222">
                  <c:v>862400</c:v>
                </c:pt>
                <c:pt idx="223">
                  <c:v>1393100</c:v>
                </c:pt>
                <c:pt idx="224">
                  <c:v>882900</c:v>
                </c:pt>
                <c:pt idx="225">
                  <c:v>894600</c:v>
                </c:pt>
                <c:pt idx="226">
                  <c:v>502900</c:v>
                </c:pt>
                <c:pt idx="227">
                  <c:v>1610800</c:v>
                </c:pt>
                <c:pt idx="228">
                  <c:v>710700</c:v>
                </c:pt>
                <c:pt idx="229">
                  <c:v>908300</c:v>
                </c:pt>
                <c:pt idx="230">
                  <c:v>713100</c:v>
                </c:pt>
                <c:pt idx="231">
                  <c:v>1288200</c:v>
                </c:pt>
                <c:pt idx="232">
                  <c:v>544800</c:v>
                </c:pt>
                <c:pt idx="233">
                  <c:v>920900</c:v>
                </c:pt>
                <c:pt idx="234">
                  <c:v>1264000</c:v>
                </c:pt>
                <c:pt idx="235">
                  <c:v>1089300</c:v>
                </c:pt>
                <c:pt idx="236">
                  <c:v>1223100</c:v>
                </c:pt>
                <c:pt idx="237">
                  <c:v>1603200</c:v>
                </c:pt>
                <c:pt idx="238">
                  <c:v>641900</c:v>
                </c:pt>
                <c:pt idx="239">
                  <c:v>794400</c:v>
                </c:pt>
                <c:pt idx="240">
                  <c:v>483700</c:v>
                </c:pt>
                <c:pt idx="241">
                  <c:v>413500</c:v>
                </c:pt>
                <c:pt idx="242">
                  <c:v>789600</c:v>
                </c:pt>
                <c:pt idx="243">
                  <c:v>629300</c:v>
                </c:pt>
                <c:pt idx="244">
                  <c:v>914200</c:v>
                </c:pt>
                <c:pt idx="245">
                  <c:v>408500</c:v>
                </c:pt>
                <c:pt idx="246">
                  <c:v>897400</c:v>
                </c:pt>
                <c:pt idx="247">
                  <c:v>748900</c:v>
                </c:pt>
                <c:pt idx="248">
                  <c:v>588800</c:v>
                </c:pt>
                <c:pt idx="249">
                  <c:v>764200</c:v>
                </c:pt>
                <c:pt idx="250">
                  <c:v>741800</c:v>
                </c:pt>
                <c:pt idx="251">
                  <c:v>300400</c:v>
                </c:pt>
                <c:pt idx="252">
                  <c:v>398800</c:v>
                </c:pt>
                <c:pt idx="253">
                  <c:v>469100</c:v>
                </c:pt>
                <c:pt idx="254">
                  <c:v>506500</c:v>
                </c:pt>
                <c:pt idx="255">
                  <c:v>531500</c:v>
                </c:pt>
                <c:pt idx="256">
                  <c:v>883000</c:v>
                </c:pt>
                <c:pt idx="257">
                  <c:v>976300</c:v>
                </c:pt>
                <c:pt idx="258">
                  <c:v>1035800</c:v>
                </c:pt>
                <c:pt idx="259">
                  <c:v>1031300</c:v>
                </c:pt>
                <c:pt idx="260">
                  <c:v>496200</c:v>
                </c:pt>
                <c:pt idx="261">
                  <c:v>949200</c:v>
                </c:pt>
                <c:pt idx="262">
                  <c:v>1066000</c:v>
                </c:pt>
                <c:pt idx="263">
                  <c:v>476800</c:v>
                </c:pt>
                <c:pt idx="264">
                  <c:v>618800</c:v>
                </c:pt>
                <c:pt idx="265">
                  <c:v>1217600</c:v>
                </c:pt>
                <c:pt idx="266">
                  <c:v>858900</c:v>
                </c:pt>
                <c:pt idx="267">
                  <c:v>926800</c:v>
                </c:pt>
                <c:pt idx="268">
                  <c:v>938000</c:v>
                </c:pt>
                <c:pt idx="269">
                  <c:v>972100</c:v>
                </c:pt>
                <c:pt idx="270">
                  <c:v>1080800</c:v>
                </c:pt>
                <c:pt idx="271">
                  <c:v>689900</c:v>
                </c:pt>
                <c:pt idx="272">
                  <c:v>579400</c:v>
                </c:pt>
                <c:pt idx="273">
                  <c:v>1127000</c:v>
                </c:pt>
                <c:pt idx="274">
                  <c:v>706900</c:v>
                </c:pt>
                <c:pt idx="275">
                  <c:v>1163300</c:v>
                </c:pt>
                <c:pt idx="276">
                  <c:v>436600</c:v>
                </c:pt>
                <c:pt idx="277">
                  <c:v>724600</c:v>
                </c:pt>
                <c:pt idx="278">
                  <c:v>546300</c:v>
                </c:pt>
                <c:pt idx="279">
                  <c:v>383900</c:v>
                </c:pt>
                <c:pt idx="280">
                  <c:v>816900</c:v>
                </c:pt>
                <c:pt idx="281">
                  <c:v>524500</c:v>
                </c:pt>
                <c:pt idx="282">
                  <c:v>633400</c:v>
                </c:pt>
                <c:pt idx="283">
                  <c:v>910800</c:v>
                </c:pt>
                <c:pt idx="284">
                  <c:v>366800</c:v>
                </c:pt>
                <c:pt idx="285">
                  <c:v>955200</c:v>
                </c:pt>
                <c:pt idx="286">
                  <c:v>653000</c:v>
                </c:pt>
                <c:pt idx="287">
                  <c:v>811800</c:v>
                </c:pt>
                <c:pt idx="288">
                  <c:v>832300</c:v>
                </c:pt>
                <c:pt idx="289">
                  <c:v>568600</c:v>
                </c:pt>
                <c:pt idx="290">
                  <c:v>413400</c:v>
                </c:pt>
                <c:pt idx="291">
                  <c:v>714300</c:v>
                </c:pt>
                <c:pt idx="292">
                  <c:v>810200</c:v>
                </c:pt>
                <c:pt idx="293">
                  <c:v>732400</c:v>
                </c:pt>
                <c:pt idx="294">
                  <c:v>430500</c:v>
                </c:pt>
                <c:pt idx="295">
                  <c:v>841000</c:v>
                </c:pt>
                <c:pt idx="296">
                  <c:v>357200</c:v>
                </c:pt>
                <c:pt idx="297">
                  <c:v>371900</c:v>
                </c:pt>
                <c:pt idx="298">
                  <c:v>391200</c:v>
                </c:pt>
                <c:pt idx="299">
                  <c:v>596900</c:v>
                </c:pt>
                <c:pt idx="300">
                  <c:v>0</c:v>
                </c:pt>
                <c:pt idx="301">
                  <c:v>330800</c:v>
                </c:pt>
                <c:pt idx="302">
                  <c:v>664800</c:v>
                </c:pt>
                <c:pt idx="303">
                  <c:v>771500</c:v>
                </c:pt>
                <c:pt idx="304">
                  <c:v>632700</c:v>
                </c:pt>
                <c:pt idx="305">
                  <c:v>343200</c:v>
                </c:pt>
                <c:pt idx="306">
                  <c:v>329500</c:v>
                </c:pt>
                <c:pt idx="307">
                  <c:v>361800</c:v>
                </c:pt>
                <c:pt idx="308">
                  <c:v>665800</c:v>
                </c:pt>
                <c:pt idx="309">
                  <c:v>493700</c:v>
                </c:pt>
                <c:pt idx="310">
                  <c:v>564400</c:v>
                </c:pt>
                <c:pt idx="311">
                  <c:v>1144300</c:v>
                </c:pt>
                <c:pt idx="312">
                  <c:v>376000</c:v>
                </c:pt>
                <c:pt idx="313">
                  <c:v>910000</c:v>
                </c:pt>
                <c:pt idx="314">
                  <c:v>1025300</c:v>
                </c:pt>
                <c:pt idx="315">
                  <c:v>1327700</c:v>
                </c:pt>
                <c:pt idx="316">
                  <c:v>510100</c:v>
                </c:pt>
                <c:pt idx="317">
                  <c:v>926900</c:v>
                </c:pt>
                <c:pt idx="318">
                  <c:v>595800</c:v>
                </c:pt>
                <c:pt idx="319">
                  <c:v>595800</c:v>
                </c:pt>
                <c:pt idx="320">
                  <c:v>692800</c:v>
                </c:pt>
                <c:pt idx="321">
                  <c:v>729500</c:v>
                </c:pt>
                <c:pt idx="322">
                  <c:v>742400</c:v>
                </c:pt>
                <c:pt idx="323">
                  <c:v>626300</c:v>
                </c:pt>
                <c:pt idx="324">
                  <c:v>339600</c:v>
                </c:pt>
                <c:pt idx="325">
                  <c:v>390200</c:v>
                </c:pt>
                <c:pt idx="326">
                  <c:v>324600</c:v>
                </c:pt>
                <c:pt idx="327">
                  <c:v>674900</c:v>
                </c:pt>
                <c:pt idx="328">
                  <c:v>316900</c:v>
                </c:pt>
                <c:pt idx="329">
                  <c:v>592000</c:v>
                </c:pt>
                <c:pt idx="330">
                  <c:v>1041100</c:v>
                </c:pt>
                <c:pt idx="331">
                  <c:v>677700</c:v>
                </c:pt>
                <c:pt idx="332">
                  <c:v>588100</c:v>
                </c:pt>
                <c:pt idx="333">
                  <c:v>401300</c:v>
                </c:pt>
                <c:pt idx="334">
                  <c:v>758700</c:v>
                </c:pt>
                <c:pt idx="335">
                  <c:v>800300</c:v>
                </c:pt>
                <c:pt idx="336">
                  <c:v>1109000</c:v>
                </c:pt>
                <c:pt idx="337">
                  <c:v>0</c:v>
                </c:pt>
                <c:pt idx="338">
                  <c:v>653200</c:v>
                </c:pt>
                <c:pt idx="339">
                  <c:v>764200</c:v>
                </c:pt>
                <c:pt idx="340">
                  <c:v>764200</c:v>
                </c:pt>
                <c:pt idx="341">
                  <c:v>557200</c:v>
                </c:pt>
                <c:pt idx="342">
                  <c:v>741000</c:v>
                </c:pt>
                <c:pt idx="343">
                  <c:v>653300</c:v>
                </c:pt>
                <c:pt idx="344">
                  <c:v>910000</c:v>
                </c:pt>
                <c:pt idx="345">
                  <c:v>326500</c:v>
                </c:pt>
                <c:pt idx="346">
                  <c:v>522200</c:v>
                </c:pt>
                <c:pt idx="347">
                  <c:v>612400</c:v>
                </c:pt>
                <c:pt idx="348">
                  <c:v>416100</c:v>
                </c:pt>
                <c:pt idx="349">
                  <c:v>609400</c:v>
                </c:pt>
                <c:pt idx="350">
                  <c:v>310600</c:v>
                </c:pt>
                <c:pt idx="351">
                  <c:v>663000</c:v>
                </c:pt>
                <c:pt idx="352">
                  <c:v>1217800</c:v>
                </c:pt>
                <c:pt idx="353">
                  <c:v>482000</c:v>
                </c:pt>
                <c:pt idx="354">
                  <c:v>571500</c:v>
                </c:pt>
                <c:pt idx="355">
                  <c:v>1037300</c:v>
                </c:pt>
                <c:pt idx="356">
                  <c:v>638400</c:v>
                </c:pt>
                <c:pt idx="357">
                  <c:v>591500</c:v>
                </c:pt>
                <c:pt idx="358">
                  <c:v>470000</c:v>
                </c:pt>
                <c:pt idx="359">
                  <c:v>886300</c:v>
                </c:pt>
                <c:pt idx="360">
                  <c:v>517600</c:v>
                </c:pt>
                <c:pt idx="361">
                  <c:v>717800</c:v>
                </c:pt>
                <c:pt idx="362">
                  <c:v>408200</c:v>
                </c:pt>
                <c:pt idx="363">
                  <c:v>914300</c:v>
                </c:pt>
                <c:pt idx="364">
                  <c:v>1034100</c:v>
                </c:pt>
                <c:pt idx="365">
                  <c:v>642100</c:v>
                </c:pt>
                <c:pt idx="366">
                  <c:v>907300</c:v>
                </c:pt>
                <c:pt idx="367">
                  <c:v>292800</c:v>
                </c:pt>
                <c:pt idx="368">
                  <c:v>711100</c:v>
                </c:pt>
                <c:pt idx="369">
                  <c:v>581500</c:v>
                </c:pt>
                <c:pt idx="370">
                  <c:v>463700</c:v>
                </c:pt>
                <c:pt idx="371">
                  <c:v>460700</c:v>
                </c:pt>
                <c:pt idx="372">
                  <c:v>989400</c:v>
                </c:pt>
                <c:pt idx="373">
                  <c:v>969000</c:v>
                </c:pt>
                <c:pt idx="374">
                  <c:v>978100</c:v>
                </c:pt>
                <c:pt idx="375">
                  <c:v>493000</c:v>
                </c:pt>
                <c:pt idx="376">
                  <c:v>472400</c:v>
                </c:pt>
                <c:pt idx="377">
                  <c:v>1001000</c:v>
                </c:pt>
                <c:pt idx="378">
                  <c:v>439800</c:v>
                </c:pt>
                <c:pt idx="379">
                  <c:v>645800</c:v>
                </c:pt>
                <c:pt idx="380">
                  <c:v>517700</c:v>
                </c:pt>
                <c:pt idx="381">
                  <c:v>569900</c:v>
                </c:pt>
                <c:pt idx="382">
                  <c:v>379600</c:v>
                </c:pt>
                <c:pt idx="383">
                  <c:v>572300</c:v>
                </c:pt>
                <c:pt idx="384">
                  <c:v>909000</c:v>
                </c:pt>
                <c:pt idx="385">
                  <c:v>901100</c:v>
                </c:pt>
                <c:pt idx="386">
                  <c:v>567400</c:v>
                </c:pt>
                <c:pt idx="387">
                  <c:v>604000</c:v>
                </c:pt>
                <c:pt idx="388">
                  <c:v>604000</c:v>
                </c:pt>
                <c:pt idx="389">
                  <c:v>558700</c:v>
                </c:pt>
                <c:pt idx="390">
                  <c:v>520500</c:v>
                </c:pt>
                <c:pt idx="391">
                  <c:v>524500</c:v>
                </c:pt>
                <c:pt idx="392">
                  <c:v>533500</c:v>
                </c:pt>
                <c:pt idx="393">
                  <c:v>679900</c:v>
                </c:pt>
                <c:pt idx="394">
                  <c:v>303600</c:v>
                </c:pt>
                <c:pt idx="395">
                  <c:v>346800</c:v>
                </c:pt>
                <c:pt idx="396">
                  <c:v>346800</c:v>
                </c:pt>
                <c:pt idx="397">
                  <c:v>977400</c:v>
                </c:pt>
                <c:pt idx="398">
                  <c:v>374000</c:v>
                </c:pt>
                <c:pt idx="399">
                  <c:v>457700</c:v>
                </c:pt>
                <c:pt idx="400">
                  <c:v>901700</c:v>
                </c:pt>
                <c:pt idx="401">
                  <c:v>303300</c:v>
                </c:pt>
                <c:pt idx="402">
                  <c:v>240300</c:v>
                </c:pt>
                <c:pt idx="403">
                  <c:v>752800</c:v>
                </c:pt>
                <c:pt idx="404">
                  <c:v>264900</c:v>
                </c:pt>
                <c:pt idx="405">
                  <c:v>554800</c:v>
                </c:pt>
                <c:pt idx="406">
                  <c:v>555500</c:v>
                </c:pt>
                <c:pt idx="407">
                  <c:v>688700</c:v>
                </c:pt>
                <c:pt idx="408">
                  <c:v>366600</c:v>
                </c:pt>
                <c:pt idx="409">
                  <c:v>484400</c:v>
                </c:pt>
                <c:pt idx="410">
                  <c:v>570700</c:v>
                </c:pt>
                <c:pt idx="411">
                  <c:v>578600</c:v>
                </c:pt>
                <c:pt idx="412">
                  <c:v>514700</c:v>
                </c:pt>
                <c:pt idx="413">
                  <c:v>658300</c:v>
                </c:pt>
                <c:pt idx="414">
                  <c:v>596200</c:v>
                </c:pt>
                <c:pt idx="415">
                  <c:v>284100</c:v>
                </c:pt>
                <c:pt idx="416">
                  <c:v>422900</c:v>
                </c:pt>
                <c:pt idx="417">
                  <c:v>376300</c:v>
                </c:pt>
                <c:pt idx="418">
                  <c:v>331400</c:v>
                </c:pt>
                <c:pt idx="419">
                  <c:v>457600</c:v>
                </c:pt>
                <c:pt idx="420">
                  <c:v>563800</c:v>
                </c:pt>
                <c:pt idx="421">
                  <c:v>326100</c:v>
                </c:pt>
                <c:pt idx="422">
                  <c:v>381700</c:v>
                </c:pt>
                <c:pt idx="423">
                  <c:v>404300</c:v>
                </c:pt>
                <c:pt idx="424">
                  <c:v>425000</c:v>
                </c:pt>
                <c:pt idx="425">
                  <c:v>250100</c:v>
                </c:pt>
                <c:pt idx="426">
                  <c:v>423300</c:v>
                </c:pt>
                <c:pt idx="427">
                  <c:v>325300</c:v>
                </c:pt>
                <c:pt idx="428">
                  <c:v>282700</c:v>
                </c:pt>
                <c:pt idx="429">
                  <c:v>764500</c:v>
                </c:pt>
                <c:pt idx="430">
                  <c:v>524200</c:v>
                </c:pt>
                <c:pt idx="431">
                  <c:v>207500</c:v>
                </c:pt>
                <c:pt idx="432">
                  <c:v>525200</c:v>
                </c:pt>
                <c:pt idx="433">
                  <c:v>386800</c:v>
                </c:pt>
                <c:pt idx="434">
                  <c:v>731800</c:v>
                </c:pt>
                <c:pt idx="435">
                  <c:v>384000</c:v>
                </c:pt>
                <c:pt idx="436">
                  <c:v>393300</c:v>
                </c:pt>
                <c:pt idx="437">
                  <c:v>422000</c:v>
                </c:pt>
                <c:pt idx="438">
                  <c:v>432600</c:v>
                </c:pt>
                <c:pt idx="439">
                  <c:v>442200</c:v>
                </c:pt>
                <c:pt idx="440">
                  <c:v>552200</c:v>
                </c:pt>
                <c:pt idx="441">
                  <c:v>349300</c:v>
                </c:pt>
                <c:pt idx="442">
                  <c:v>376300</c:v>
                </c:pt>
                <c:pt idx="443">
                  <c:v>226900</c:v>
                </c:pt>
                <c:pt idx="444">
                  <c:v>595100</c:v>
                </c:pt>
                <c:pt idx="445">
                  <c:v>367800</c:v>
                </c:pt>
                <c:pt idx="446">
                  <c:v>839300</c:v>
                </c:pt>
                <c:pt idx="447">
                  <c:v>506600</c:v>
                </c:pt>
                <c:pt idx="448">
                  <c:v>458900</c:v>
                </c:pt>
                <c:pt idx="449">
                  <c:v>219500</c:v>
                </c:pt>
                <c:pt idx="450">
                  <c:v>352300</c:v>
                </c:pt>
                <c:pt idx="451">
                  <c:v>408300</c:v>
                </c:pt>
                <c:pt idx="452">
                  <c:v>206800</c:v>
                </c:pt>
                <c:pt idx="453">
                  <c:v>536200</c:v>
                </c:pt>
                <c:pt idx="454">
                  <c:v>546100</c:v>
                </c:pt>
                <c:pt idx="455">
                  <c:v>365400</c:v>
                </c:pt>
                <c:pt idx="456">
                  <c:v>483000</c:v>
                </c:pt>
                <c:pt idx="457">
                  <c:v>339300</c:v>
                </c:pt>
                <c:pt idx="458">
                  <c:v>447500</c:v>
                </c:pt>
                <c:pt idx="459">
                  <c:v>771800</c:v>
                </c:pt>
                <c:pt idx="460">
                  <c:v>400100</c:v>
                </c:pt>
                <c:pt idx="461">
                  <c:v>320200</c:v>
                </c:pt>
                <c:pt idx="462">
                  <c:v>435800</c:v>
                </c:pt>
                <c:pt idx="463">
                  <c:v>685400</c:v>
                </c:pt>
                <c:pt idx="464">
                  <c:v>494900</c:v>
                </c:pt>
                <c:pt idx="465">
                  <c:v>494900</c:v>
                </c:pt>
                <c:pt idx="466">
                  <c:v>338500</c:v>
                </c:pt>
                <c:pt idx="467">
                  <c:v>468300</c:v>
                </c:pt>
                <c:pt idx="468">
                  <c:v>405300</c:v>
                </c:pt>
                <c:pt idx="469">
                  <c:v>219300</c:v>
                </c:pt>
                <c:pt idx="470">
                  <c:v>312200</c:v>
                </c:pt>
                <c:pt idx="471">
                  <c:v>365400</c:v>
                </c:pt>
                <c:pt idx="472">
                  <c:v>708400</c:v>
                </c:pt>
                <c:pt idx="473">
                  <c:v>188100</c:v>
                </c:pt>
                <c:pt idx="474">
                  <c:v>410500</c:v>
                </c:pt>
                <c:pt idx="475">
                  <c:v>567800</c:v>
                </c:pt>
                <c:pt idx="476">
                  <c:v>641000</c:v>
                </c:pt>
                <c:pt idx="477">
                  <c:v>306900</c:v>
                </c:pt>
                <c:pt idx="478">
                  <c:v>332700</c:v>
                </c:pt>
                <c:pt idx="479">
                  <c:v>472000</c:v>
                </c:pt>
                <c:pt idx="480">
                  <c:v>230400</c:v>
                </c:pt>
                <c:pt idx="481">
                  <c:v>446000</c:v>
                </c:pt>
                <c:pt idx="482">
                  <c:v>462700</c:v>
                </c:pt>
                <c:pt idx="483">
                  <c:v>188200</c:v>
                </c:pt>
                <c:pt idx="484">
                  <c:v>404200</c:v>
                </c:pt>
                <c:pt idx="485">
                  <c:v>404500</c:v>
                </c:pt>
                <c:pt idx="486">
                  <c:v>582500</c:v>
                </c:pt>
                <c:pt idx="487">
                  <c:v>239900</c:v>
                </c:pt>
                <c:pt idx="488">
                  <c:v>334500</c:v>
                </c:pt>
                <c:pt idx="489">
                  <c:v>339800</c:v>
                </c:pt>
                <c:pt idx="490">
                  <c:v>404700</c:v>
                </c:pt>
                <c:pt idx="491">
                  <c:v>635600</c:v>
                </c:pt>
                <c:pt idx="492">
                  <c:v>233900</c:v>
                </c:pt>
                <c:pt idx="493">
                  <c:v>362700</c:v>
                </c:pt>
                <c:pt idx="494">
                  <c:v>264000</c:v>
                </c:pt>
                <c:pt idx="495">
                  <c:v>252800</c:v>
                </c:pt>
                <c:pt idx="496">
                  <c:v>208300</c:v>
                </c:pt>
                <c:pt idx="497">
                  <c:v>375100</c:v>
                </c:pt>
                <c:pt idx="498">
                  <c:v>257500</c:v>
                </c:pt>
                <c:pt idx="499">
                  <c:v>196800</c:v>
                </c:pt>
                <c:pt idx="500">
                  <c:v>277900</c:v>
                </c:pt>
                <c:pt idx="501">
                  <c:v>283200</c:v>
                </c:pt>
                <c:pt idx="502">
                  <c:v>124400</c:v>
                </c:pt>
                <c:pt idx="503">
                  <c:v>126900</c:v>
                </c:pt>
                <c:pt idx="504">
                  <c:v>160000</c:v>
                </c:pt>
                <c:pt idx="505">
                  <c:v>402000</c:v>
                </c:pt>
                <c:pt idx="506">
                  <c:v>373300</c:v>
                </c:pt>
                <c:pt idx="507">
                  <c:v>649100</c:v>
                </c:pt>
                <c:pt idx="508">
                  <c:v>1424300</c:v>
                </c:pt>
                <c:pt idx="509">
                  <c:v>1640600</c:v>
                </c:pt>
              </c:numCache>
            </c:numRef>
          </c:yVal>
          <c:smooth val="0"/>
          <c:extLst>
            <c:ext xmlns:c16="http://schemas.microsoft.com/office/drawing/2014/chart" uri="{C3380CC4-5D6E-409C-BE32-E72D297353CC}">
              <c16:uniqueId val="{00000001-DCC5-4DAF-89E3-741D2BE61984}"/>
            </c:ext>
          </c:extLst>
        </c:ser>
        <c:dLbls>
          <c:showLegendKey val="0"/>
          <c:showVal val="0"/>
          <c:showCatName val="0"/>
          <c:showSerName val="0"/>
          <c:showPercent val="0"/>
          <c:showBubbleSize val="0"/>
        </c:dLbls>
        <c:axId val="1310768416"/>
        <c:axId val="1310766752"/>
      </c:scatterChart>
      <c:valAx>
        <c:axId val="1310768416"/>
        <c:scaling>
          <c:orientation val="minMax"/>
          <c:min val="50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0766752"/>
        <c:crosses val="autoZero"/>
        <c:crossBetween val="midCat"/>
      </c:valAx>
      <c:valAx>
        <c:axId val="131076675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0768416"/>
        <c:crosses val="autoZero"/>
        <c:crossBetween val="midCat"/>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79047081183817536"/>
          <c:y val="3.6399922853093875E-2"/>
          <c:w val="0.17964413069056023"/>
          <c:h val="0.127841803865425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[real_estate_property_analysis_raw_data.xlsx]ANAYLIS!PivotTable2</c:name>
    <c:fmtId val="6"/>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solidFill>
                  <a:schemeClr val="tx1"/>
                </a:solidFill>
                <a:latin typeface="Georgia" panose="02040502050405020303" pitchFamily="18" charset="0"/>
              </a:rPr>
              <a:t>Average Property Price by Location</a:t>
            </a:r>
          </a:p>
        </c:rich>
      </c:tx>
      <c:layout>
        <c:manualLayout>
          <c:xMode val="edge"/>
          <c:yMode val="edge"/>
          <c:x val="0.32523554862809384"/>
          <c:y val="2.3184601924759411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31729367162439"/>
          <c:y val="0.14063772255168355"/>
          <c:w val="0.67250650369734721"/>
          <c:h val="0.82658590753078942"/>
        </c:manualLayout>
      </c:layout>
      <c:barChart>
        <c:barDir val="bar"/>
        <c:grouping val="stacked"/>
        <c:varyColors val="0"/>
        <c:ser>
          <c:idx val="0"/>
          <c:order val="0"/>
          <c:tx>
            <c:strRef>
              <c:f>ANAYLIS!$B$16</c:f>
              <c:strCache>
                <c:ptCount val="1"/>
                <c:pt idx="0">
                  <c:v>Total</c:v>
                </c:pt>
              </c:strCache>
            </c:strRef>
          </c:tx>
          <c:spPr>
            <a:solidFill>
              <a:srgbClr val="00B0F0"/>
            </a:solidFill>
            <a:ln>
              <a:noFill/>
            </a:ln>
            <a:effectLst>
              <a:outerShdw blurRad="57150" dist="19050" dir="540000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ANAYLIS!$A$17:$A$42</c:f>
              <c:strCache>
                <c:ptCount val="25"/>
                <c:pt idx="0">
                  <c:v>Wynwood</c:v>
                </c:pt>
                <c:pt idx="1">
                  <c:v>South Congress</c:v>
                </c:pt>
                <c:pt idx="2">
                  <c:v>Round Rock</c:v>
                </c:pt>
                <c:pt idx="3">
                  <c:v>Queens</c:v>
                </c:pt>
                <c:pt idx="4">
                  <c:v>Queen Anne</c:v>
                </c:pt>
                <c:pt idx="5">
                  <c:v>North Loop</c:v>
                </c:pt>
                <c:pt idx="6">
                  <c:v>Montrose</c:v>
                </c:pt>
                <c:pt idx="7">
                  <c:v>Midtown</c:v>
                </c:pt>
                <c:pt idx="8">
                  <c:v>Manhattan</c:v>
                </c:pt>
                <c:pt idx="9">
                  <c:v>Loop</c:v>
                </c:pt>
                <c:pt idx="10">
                  <c:v>Lodo</c:v>
                </c:pt>
                <c:pt idx="11">
                  <c:v>Lincoln Park</c:v>
                </c:pt>
                <c:pt idx="12">
                  <c:v>Lakeview</c:v>
                </c:pt>
                <c:pt idx="13">
                  <c:v>Katy</c:v>
                </c:pt>
                <c:pt idx="14">
                  <c:v>Hyde Park</c:v>
                </c:pt>
                <c:pt idx="15">
                  <c:v>Highlands</c:v>
                </c:pt>
                <c:pt idx="16">
                  <c:v>Fremont</c:v>
                </c:pt>
                <c:pt idx="17">
                  <c:v>Downtown</c:v>
                </c:pt>
                <c:pt idx="18">
                  <c:v>Coral Gables</c:v>
                </c:pt>
                <c:pt idx="19">
                  <c:v>Cherry Creek</c:v>
                </c:pt>
                <c:pt idx="20">
                  <c:v>Capitol Hill</c:v>
                </c:pt>
                <c:pt idx="21">
                  <c:v>Brooklyn</c:v>
                </c:pt>
                <c:pt idx="22">
                  <c:v>Bronx</c:v>
                </c:pt>
                <c:pt idx="23">
                  <c:v>Brickell</c:v>
                </c:pt>
                <c:pt idx="24">
                  <c:v>Ballard</c:v>
                </c:pt>
              </c:strCache>
            </c:strRef>
          </c:cat>
          <c:val>
            <c:numRef>
              <c:f>ANAYLIS!$B$17:$B$42</c:f>
              <c:numCache>
                <c:formatCode>"$"#,##0.00</c:formatCode>
                <c:ptCount val="25"/>
                <c:pt idx="0">
                  <c:v>829364</c:v>
                </c:pt>
                <c:pt idx="1">
                  <c:v>813563.63636363635</c:v>
                </c:pt>
                <c:pt idx="2">
                  <c:v>875973.68421052629</c:v>
                </c:pt>
                <c:pt idx="3">
                  <c:v>1324588.2352941176</c:v>
                </c:pt>
                <c:pt idx="4">
                  <c:v>1021687.5</c:v>
                </c:pt>
                <c:pt idx="5">
                  <c:v>776838.4615384615</c:v>
                </c:pt>
                <c:pt idx="6">
                  <c:v>465282.35294117645</c:v>
                </c:pt>
                <c:pt idx="7">
                  <c:v>468273.91304347827</c:v>
                </c:pt>
                <c:pt idx="8">
                  <c:v>1413744.4444444445</c:v>
                </c:pt>
                <c:pt idx="9">
                  <c:v>626925</c:v>
                </c:pt>
                <c:pt idx="10">
                  <c:v>844920</c:v>
                </c:pt>
                <c:pt idx="11">
                  <c:v>522431.57894736843</c:v>
                </c:pt>
                <c:pt idx="12">
                  <c:v>769715.38461538462</c:v>
                </c:pt>
                <c:pt idx="13">
                  <c:v>435873.33333333331</c:v>
                </c:pt>
                <c:pt idx="14">
                  <c:v>711183.49845263152</c:v>
                </c:pt>
                <c:pt idx="15">
                  <c:v>856150</c:v>
                </c:pt>
                <c:pt idx="16">
                  <c:v>1232066.6666666667</c:v>
                </c:pt>
                <c:pt idx="17">
                  <c:v>666193.75</c:v>
                </c:pt>
                <c:pt idx="18">
                  <c:v>1026628.5714285715</c:v>
                </c:pt>
                <c:pt idx="19">
                  <c:v>994676.4705882353</c:v>
                </c:pt>
                <c:pt idx="20">
                  <c:v>976295.12195121951</c:v>
                </c:pt>
                <c:pt idx="21">
                  <c:v>1562404.7619047619</c:v>
                </c:pt>
                <c:pt idx="22">
                  <c:v>1265253.8461538462</c:v>
                </c:pt>
                <c:pt idx="23">
                  <c:v>941663.63636363635</c:v>
                </c:pt>
                <c:pt idx="24">
                  <c:v>1206615.3846153845</c:v>
                </c:pt>
              </c:numCache>
            </c:numRef>
          </c:val>
          <c:extLst>
            <c:ext xmlns:c16="http://schemas.microsoft.com/office/drawing/2014/chart" uri="{C3380CC4-5D6E-409C-BE32-E72D297353CC}">
              <c16:uniqueId val="{00000000-A150-4024-8584-9A4147EE6197}"/>
            </c:ext>
          </c:extLst>
        </c:ser>
        <c:dLbls>
          <c:dLblPos val="ctr"/>
          <c:showLegendKey val="0"/>
          <c:showVal val="1"/>
          <c:showCatName val="0"/>
          <c:showSerName val="0"/>
          <c:showPercent val="0"/>
          <c:showBubbleSize val="0"/>
        </c:dLbls>
        <c:gapWidth val="150"/>
        <c:overlap val="100"/>
        <c:axId val="235260831"/>
        <c:axId val="235257919"/>
      </c:barChart>
      <c:catAx>
        <c:axId val="23526083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Variable Small Semibol" pitchFamily="2" charset="0"/>
                <a:ea typeface="+mn-ea"/>
                <a:cs typeface="+mn-cs"/>
              </a:defRPr>
            </a:pPr>
            <a:endParaRPr lang="en-US"/>
          </a:p>
        </c:txPr>
        <c:crossAx val="235257919"/>
        <c:crosses val="autoZero"/>
        <c:auto val="1"/>
        <c:lblAlgn val="ctr"/>
        <c:lblOffset val="100"/>
        <c:noMultiLvlLbl val="0"/>
      </c:catAx>
      <c:valAx>
        <c:axId val="235257919"/>
        <c:scaling>
          <c:orientation val="minMax"/>
        </c:scaling>
        <c:delete val="1"/>
        <c:axPos val="b"/>
        <c:numFmt formatCode="&quot;$&quot;#,##0.00" sourceLinked="1"/>
        <c:majorTickMark val="out"/>
        <c:minorTickMark val="none"/>
        <c:tickLblPos val="nextTo"/>
        <c:crossAx val="235260831"/>
        <c:crosses val="autoZero"/>
        <c:crossBetween val="between"/>
      </c:valAx>
      <c:spPr>
        <a:noFill/>
        <a:ln cap="rnd">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[real_estate_property_analysis_raw_data.xlsx]ANAYLIS!PivotTable18</c:name>
    <c:fmtId val="12"/>
  </c:pivotSource>
  <c:chart>
    <c:title>
      <c:tx>
        <c:rich>
          <a:bodyPr rot="0" spcFirstLastPara="1" vertOverflow="ellipsis" vert="horz" wrap="square" anchor="ctr" anchorCtr="1"/>
          <a:lstStyle/>
          <a:p>
            <a:pPr>
              <a:defRPr sz="1400" b="1" i="0" u="none" strike="noStrike" kern="1200" spc="100" baseline="0">
                <a:solidFill>
                  <a:schemeClr val="tx1"/>
                </a:solidFill>
                <a:effectLst/>
                <a:latin typeface="+mn-lt"/>
                <a:ea typeface="+mn-ea"/>
                <a:cs typeface="+mn-cs"/>
              </a:defRPr>
            </a:pPr>
            <a:r>
              <a:rPr lang="en-US" sz="1400" b="1" i="0" u="none" strike="noStrike" baseline="0">
                <a:solidFill>
                  <a:schemeClr val="tx1"/>
                </a:solidFill>
                <a:effectLst/>
                <a:latin typeface="Georgia" panose="02040502050405020303" pitchFamily="18" charset="0"/>
              </a:rPr>
              <a:t>Average Property Price by Property Type</a:t>
            </a:r>
            <a:endParaRPr lang="en-US" sz="1400" b="1">
              <a:solidFill>
                <a:schemeClr val="tx1"/>
              </a:solidFill>
              <a:effectLst/>
              <a:latin typeface="Georgia" panose="02040502050405020303" pitchFamily="18" charset="0"/>
            </a:endParaRPr>
          </a:p>
        </c:rich>
      </c:tx>
      <c:layout>
        <c:manualLayout>
          <c:xMode val="edge"/>
          <c:yMode val="edge"/>
          <c:x val="0.2430977060070881"/>
          <c:y val="0.10917052111754934"/>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none"/>
        </c:marker>
        <c:dLbl>
          <c:idx val="0"/>
          <c:spPr>
            <a:solidFill>
              <a:schemeClr val="tx1"/>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9C215"/>
          </a:solidFill>
          <a:ln>
            <a:noFill/>
          </a:ln>
          <a:effectLst>
            <a:outerShdw blurRad="57150" dist="19050" dir="5400000">
              <a:srgbClr val="000000">
                <a:alpha val="63000"/>
              </a:srgbClr>
            </a:outerShdw>
          </a:effectLst>
        </c:spPr>
      </c:pivotFmt>
      <c:pivotFmt>
        <c:idx val="4"/>
        <c:spPr>
          <a:solidFill>
            <a:srgbClr val="EEDB50"/>
          </a:solidFill>
          <a:ln>
            <a:noFill/>
          </a:ln>
          <a:effectLst>
            <a:outerShdw blurRad="57150" dist="19050" dir="5400000">
              <a:srgbClr val="000000">
                <a:alpha val="63000"/>
              </a:srgbClr>
            </a:outerShdw>
          </a:effectLst>
        </c:spPr>
      </c:pivotFmt>
      <c:pivotFmt>
        <c:idx val="5"/>
        <c:spPr>
          <a:solidFill>
            <a:srgbClr val="F2E47E"/>
          </a:solidFill>
          <a:ln>
            <a:noFill/>
          </a:ln>
          <a:effectLst>
            <a:outerShdw blurRad="57150" dist="19050" dir="5400000">
              <a:srgbClr val="000000">
                <a:alpha val="63000"/>
              </a:srgbClr>
            </a:outerShdw>
          </a:effectLst>
        </c:spPr>
      </c:pivotFmt>
      <c:pivotFmt>
        <c:idx val="6"/>
        <c:spPr>
          <a:solidFill>
            <a:srgbClr val="F7EFB3"/>
          </a:solidFill>
          <a:ln>
            <a:noFill/>
          </a:ln>
          <a:effectLst>
            <a:outerShdw blurRad="57150" dist="19050" dir="5400000">
              <a:srgbClr val="000000">
                <a:alpha val="63000"/>
              </a:srgbClr>
            </a:outerShdw>
          </a:effectLst>
        </c:spPr>
      </c:pivotFmt>
      <c:pivotFmt>
        <c:idx val="7"/>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none"/>
        </c:marker>
        <c:dLbl>
          <c:idx val="0"/>
          <c:spPr>
            <a:solidFill>
              <a:schemeClr val="tx1"/>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7EFB3"/>
          </a:solidFill>
          <a:ln>
            <a:noFill/>
          </a:ln>
          <a:effectLst>
            <a:outerShdw blurRad="57150" dist="19050" dir="5400000">
              <a:srgbClr val="000000">
                <a:alpha val="63000"/>
              </a:srgbClr>
            </a:outerShdw>
          </a:effectLst>
        </c:spPr>
      </c:pivotFmt>
      <c:pivotFmt>
        <c:idx val="9"/>
        <c:spPr>
          <a:solidFill>
            <a:srgbClr val="D9C215"/>
          </a:solidFill>
          <a:ln>
            <a:noFill/>
          </a:ln>
          <a:effectLst>
            <a:outerShdw blurRad="57150" dist="19050" dir="5400000">
              <a:srgbClr val="000000">
                <a:alpha val="63000"/>
              </a:srgbClr>
            </a:outerShdw>
          </a:effectLst>
        </c:spPr>
      </c:pivotFmt>
      <c:pivotFmt>
        <c:idx val="10"/>
        <c:spPr>
          <a:solidFill>
            <a:srgbClr val="F2E47E"/>
          </a:solidFill>
          <a:ln>
            <a:noFill/>
          </a:ln>
          <a:effectLst>
            <a:outerShdw blurRad="57150" dist="19050" dir="5400000">
              <a:srgbClr val="000000">
                <a:alpha val="63000"/>
              </a:srgbClr>
            </a:outerShdw>
          </a:effectLst>
        </c:spPr>
      </c:pivotFmt>
      <c:pivotFmt>
        <c:idx val="11"/>
        <c:spPr>
          <a:solidFill>
            <a:srgbClr val="EEDB50"/>
          </a:solidFill>
          <a:ln>
            <a:noFill/>
          </a:ln>
          <a:effectLst>
            <a:outerShdw blurRad="57150" dist="19050" dir="5400000">
              <a:srgbClr val="000000">
                <a:alpha val="63000"/>
              </a:srgbClr>
            </a:outerShdw>
          </a:effectLst>
        </c:spPr>
      </c:pivotFmt>
      <c:pivotFmt>
        <c:idx val="1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none"/>
        </c:marker>
        <c:dLbl>
          <c:idx val="0"/>
          <c:spPr>
            <a:solidFill>
              <a:schemeClr val="tx1"/>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7EFB3"/>
          </a:solidFill>
          <a:ln>
            <a:noFill/>
          </a:ln>
          <a:effectLst>
            <a:outerShdw blurRad="57150" dist="19050" dir="5400000">
              <a:srgbClr val="000000">
                <a:alpha val="63000"/>
              </a:srgbClr>
            </a:outerShdw>
          </a:effectLst>
        </c:spPr>
      </c:pivotFmt>
      <c:pivotFmt>
        <c:idx val="14"/>
        <c:spPr>
          <a:solidFill>
            <a:srgbClr val="D9C215"/>
          </a:solidFill>
          <a:ln>
            <a:noFill/>
          </a:ln>
          <a:effectLst>
            <a:outerShdw blurRad="57150" dist="19050" dir="5400000">
              <a:srgbClr val="000000">
                <a:alpha val="63000"/>
              </a:srgbClr>
            </a:outerShdw>
          </a:effectLst>
        </c:spPr>
      </c:pivotFmt>
      <c:pivotFmt>
        <c:idx val="15"/>
        <c:spPr>
          <a:solidFill>
            <a:srgbClr val="F2E47E"/>
          </a:solidFill>
          <a:ln>
            <a:noFill/>
          </a:ln>
          <a:effectLst>
            <a:outerShdw blurRad="57150" dist="19050" dir="5400000">
              <a:srgbClr val="000000">
                <a:alpha val="63000"/>
              </a:srgbClr>
            </a:outerShdw>
          </a:effectLst>
        </c:spPr>
      </c:pivotFmt>
      <c:pivotFmt>
        <c:idx val="16"/>
        <c:spPr>
          <a:solidFill>
            <a:srgbClr val="EEDB50"/>
          </a:solidFill>
          <a:ln>
            <a:noFill/>
          </a:ln>
          <a:effectLst>
            <a:outerShdw blurRad="57150" dist="19050" dir="5400000">
              <a:srgbClr val="000000">
                <a:alpha val="63000"/>
              </a:srgbClr>
            </a:outerShdw>
          </a:effectLst>
        </c:spPr>
      </c:pivotFmt>
    </c:pivotFmts>
    <c:plotArea>
      <c:layout>
        <c:manualLayout>
          <c:layoutTarget val="inner"/>
          <c:xMode val="edge"/>
          <c:yMode val="edge"/>
          <c:x val="4.5197822494410428E-2"/>
          <c:y val="0.33883792048929656"/>
          <c:w val="0.91713747645951038"/>
          <c:h val="0.39417425683332075"/>
        </c:manualLayout>
      </c:layout>
      <c:barChart>
        <c:barDir val="col"/>
        <c:grouping val="stacked"/>
        <c:varyColors val="0"/>
        <c:ser>
          <c:idx val="0"/>
          <c:order val="0"/>
          <c:tx>
            <c:strRef>
              <c:f>ANAYLIS!$E$13</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invertIfNegative val="0"/>
          <c:dPt>
            <c:idx val="0"/>
            <c:invertIfNegative val="0"/>
            <c:bubble3D val="0"/>
            <c:spPr>
              <a:solidFill>
                <a:srgbClr val="F7EFB3"/>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1-B717-4ED7-B366-DB120A3E0A92}"/>
              </c:ext>
            </c:extLst>
          </c:dPt>
          <c:dPt>
            <c:idx val="1"/>
            <c:invertIfNegative val="0"/>
            <c:bubble3D val="0"/>
            <c:spPr>
              <a:solidFill>
                <a:srgbClr val="D9C215"/>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3-B717-4ED7-B366-DB120A3E0A92}"/>
              </c:ext>
            </c:extLst>
          </c:dPt>
          <c:dPt>
            <c:idx val="2"/>
            <c:invertIfNegative val="0"/>
            <c:bubble3D val="0"/>
            <c:spPr>
              <a:solidFill>
                <a:srgbClr val="F2E47E"/>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5-B717-4ED7-B366-DB120A3E0A92}"/>
              </c:ext>
            </c:extLst>
          </c:dPt>
          <c:dPt>
            <c:idx val="3"/>
            <c:invertIfNegative val="0"/>
            <c:bubble3D val="0"/>
            <c:spPr>
              <a:solidFill>
                <a:srgbClr val="EEDB50"/>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7-B717-4ED7-B366-DB120A3E0A92}"/>
              </c:ext>
            </c:extLst>
          </c:dPt>
          <c:dLbls>
            <c:spPr>
              <a:solidFill>
                <a:schemeClr val="tx1"/>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ANAYLIS!$D$14:$D$18</c:f>
              <c:strCache>
                <c:ptCount val="4"/>
                <c:pt idx="0">
                  <c:v>Apartment</c:v>
                </c:pt>
                <c:pt idx="1">
                  <c:v>Condo</c:v>
                </c:pt>
                <c:pt idx="2">
                  <c:v>House</c:v>
                </c:pt>
                <c:pt idx="3">
                  <c:v>Townhouse</c:v>
                </c:pt>
              </c:strCache>
            </c:strRef>
          </c:cat>
          <c:val>
            <c:numRef>
              <c:f>ANAYLIS!$E$14:$E$18</c:f>
              <c:numCache>
                <c:formatCode>[$₹-439]#,##0.00;[$₹-439]\-#,##0.00</c:formatCode>
                <c:ptCount val="4"/>
                <c:pt idx="0">
                  <c:v>824517.96875</c:v>
                </c:pt>
                <c:pt idx="1">
                  <c:v>964507.43801652896</c:v>
                </c:pt>
                <c:pt idx="2">
                  <c:v>866599.29577464785</c:v>
                </c:pt>
                <c:pt idx="3">
                  <c:v>886525.09639159671</c:v>
                </c:pt>
              </c:numCache>
            </c:numRef>
          </c:val>
          <c:extLst>
            <c:ext xmlns:c16="http://schemas.microsoft.com/office/drawing/2014/chart" uri="{C3380CC4-5D6E-409C-BE32-E72D297353CC}">
              <c16:uniqueId val="{00000008-B717-4ED7-B366-DB120A3E0A92}"/>
            </c:ext>
          </c:extLst>
        </c:ser>
        <c:dLbls>
          <c:dLblPos val="inEnd"/>
          <c:showLegendKey val="0"/>
          <c:showVal val="1"/>
          <c:showCatName val="0"/>
          <c:showSerName val="0"/>
          <c:showPercent val="0"/>
          <c:showBubbleSize val="0"/>
        </c:dLbls>
        <c:gapWidth val="150"/>
        <c:overlap val="100"/>
        <c:axId val="766253423"/>
        <c:axId val="766253839"/>
      </c:barChart>
      <c:catAx>
        <c:axId val="766253423"/>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766253839"/>
        <c:crosses val="autoZero"/>
        <c:auto val="1"/>
        <c:lblAlgn val="ctr"/>
        <c:lblOffset val="100"/>
        <c:noMultiLvlLbl val="0"/>
      </c:catAx>
      <c:valAx>
        <c:axId val="766253839"/>
        <c:scaling>
          <c:orientation val="minMax"/>
        </c:scaling>
        <c:delete val="1"/>
        <c:axPos val="l"/>
        <c:numFmt formatCode="[$₹-439]#,##0.00;[$₹-439]\-#,##0.00" sourceLinked="1"/>
        <c:majorTickMark val="out"/>
        <c:minorTickMark val="none"/>
        <c:tickLblPos val="nextTo"/>
        <c:crossAx val="76625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[real_estate_property_analysis_raw_data.xlsx]ANAYLIS!PivotTable33</c:name>
    <c:fmtId val="16"/>
  </c:pivotSource>
  <c:chart>
    <c:title>
      <c:tx>
        <c:rich>
          <a:bodyPr rot="0" spcFirstLastPara="1" vertOverflow="ellipsis" vert="horz" wrap="square" anchor="ctr" anchorCtr="1"/>
          <a:lstStyle/>
          <a:p>
            <a:pPr>
              <a:defRPr sz="1400" b="1" i="0" u="none" strike="noStrike" kern="1200" baseline="0">
                <a:solidFill>
                  <a:schemeClr val="tx1"/>
                </a:solidFill>
                <a:latin typeface="Georgia" panose="02040502050405020303" pitchFamily="18" charset="0"/>
                <a:ea typeface="+mn-ea"/>
                <a:cs typeface="+mn-cs"/>
              </a:defRPr>
            </a:pPr>
            <a:r>
              <a:rPr lang="en-US" sz="1400">
                <a:solidFill>
                  <a:schemeClr val="tx1"/>
                </a:solidFill>
                <a:latin typeface="Georgia" panose="02040502050405020303" pitchFamily="18" charset="0"/>
              </a:rPr>
              <a:t>Average Price per Sq. Ft. by City </a:t>
            </a:r>
          </a:p>
        </c:rich>
      </c:tx>
      <c:layout>
        <c:manualLayout>
          <c:xMode val="edge"/>
          <c:yMode val="edge"/>
          <c:x val="0.18794249917157149"/>
          <c:y val="9.737309748462745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Georgia" panose="020405020504050203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BBC"/>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00" sourceLinked="0"/>
          <c:spPr>
            <a:solidFill>
              <a:sysClr val="windowText" lastClr="000000"/>
            </a:solidFill>
            <a:ln>
              <a:noFill/>
            </a:ln>
            <a:effectLst>
              <a:glow>
                <a:sysClr val="window" lastClr="FFFFFF"/>
              </a:glow>
              <a:outerShdw blurRad="50800" dist="50800" dir="54000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8BBC"/>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rgbClr val="00A4DE"/>
          </a:solidFill>
          <a:ln w="9525" cap="flat" cmpd="sng" algn="ctr">
            <a:solidFill>
              <a:schemeClr val="accent1">
                <a:lumMod val="75000"/>
              </a:schemeClr>
            </a:solidFill>
            <a:round/>
          </a:ln>
          <a:effectLst/>
          <a:sp3d contourW="9525">
            <a:contourClr>
              <a:schemeClr val="accent1">
                <a:lumMod val="75000"/>
              </a:schemeClr>
            </a:contourClr>
          </a:sp3d>
        </c:spPr>
      </c:pivotFmt>
      <c:pivotFmt>
        <c:idx val="5"/>
        <c:spPr>
          <a:solidFill>
            <a:srgbClr val="01BCFF"/>
          </a:solidFill>
          <a:ln w="9525" cap="flat" cmpd="sng" algn="ctr">
            <a:solidFill>
              <a:schemeClr val="accent1">
                <a:lumMod val="75000"/>
              </a:schemeClr>
            </a:solidFill>
            <a:round/>
          </a:ln>
          <a:effectLst/>
          <a:sp3d contourW="9525">
            <a:contourClr>
              <a:schemeClr val="accent1">
                <a:lumMod val="75000"/>
              </a:schemeClr>
            </a:contourClr>
          </a:sp3d>
        </c:spPr>
      </c:pivotFmt>
      <c:pivotFmt>
        <c:idx val="6"/>
        <c:spPr>
          <a:solidFill>
            <a:srgbClr val="4FD1FF"/>
          </a:solidFill>
          <a:ln w="9525" cap="flat" cmpd="sng" algn="ctr">
            <a:solidFill>
              <a:schemeClr val="accent1">
                <a:lumMod val="75000"/>
              </a:schemeClr>
            </a:solidFill>
            <a:round/>
          </a:ln>
          <a:effectLst/>
          <a:sp3d contourW="9525">
            <a:contourClr>
              <a:schemeClr val="accent1">
                <a:lumMod val="75000"/>
              </a:schemeClr>
            </a:contourClr>
          </a:sp3d>
        </c:spPr>
      </c:pivotFmt>
      <c:pivotFmt>
        <c:idx val="7"/>
        <c:spPr>
          <a:solidFill>
            <a:srgbClr val="79DCFF"/>
          </a:solidFill>
          <a:ln w="9525" cap="flat" cmpd="sng" algn="ctr">
            <a:solidFill>
              <a:schemeClr val="accent1">
                <a:lumMod val="75000"/>
              </a:schemeClr>
            </a:solidFill>
            <a:round/>
          </a:ln>
          <a:effectLst/>
          <a:sp3d contourW="9525">
            <a:contourClr>
              <a:schemeClr val="accent1">
                <a:lumMod val="75000"/>
              </a:schemeClr>
            </a:contourClr>
          </a:sp3d>
        </c:spPr>
      </c:pivotFmt>
      <c:pivotFmt>
        <c:idx val="8"/>
        <c:spPr>
          <a:solidFill>
            <a:srgbClr val="9FE6FF"/>
          </a:solidFill>
          <a:ln w="9525" cap="flat" cmpd="sng" algn="ctr">
            <a:solidFill>
              <a:schemeClr val="accent1">
                <a:lumMod val="75000"/>
              </a:schemeClr>
            </a:solidFill>
            <a:round/>
          </a:ln>
          <a:effectLst/>
          <a:sp3d contourW="9525">
            <a:contourClr>
              <a:schemeClr val="accent1">
                <a:lumMod val="75000"/>
              </a:schemeClr>
            </a:contourClr>
          </a:sp3d>
        </c:spPr>
      </c:pivotFmt>
      <c:pivotFmt>
        <c:idx val="9"/>
        <c:spPr>
          <a:solidFill>
            <a:srgbClr val="C9F1FF"/>
          </a:solidFill>
          <a:ln w="9525" cap="flat" cmpd="sng" algn="ctr">
            <a:solidFill>
              <a:schemeClr val="accent1">
                <a:lumMod val="75000"/>
              </a:schemeClr>
            </a:solidFill>
            <a:round/>
          </a:ln>
          <a:effectLst/>
          <a:sp3d contourW="9525">
            <a:contourClr>
              <a:schemeClr val="accent1">
                <a:lumMod val="75000"/>
              </a:schemeClr>
            </a:contourClr>
          </a:sp3d>
        </c:spPr>
      </c:pivotFmt>
      <c:pivotFmt>
        <c:idx val="10"/>
        <c:spPr>
          <a:solidFill>
            <a:srgbClr val="008BBC"/>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00" sourceLinked="0"/>
          <c:spPr>
            <a:solidFill>
              <a:sysClr val="windowText" lastClr="000000"/>
            </a:solidFill>
            <a:ln>
              <a:noFill/>
            </a:ln>
            <a:effectLst>
              <a:glow>
                <a:sysClr val="window" lastClr="FFFFFF"/>
              </a:glow>
              <a:outerShdw blurRad="50800" dist="50800" dir="54000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A4DE"/>
          </a:solidFill>
          <a:ln w="9525" cap="flat" cmpd="sng" algn="ctr">
            <a:solidFill>
              <a:schemeClr val="accent1">
                <a:lumMod val="75000"/>
              </a:schemeClr>
            </a:solidFill>
            <a:round/>
          </a:ln>
          <a:effectLst/>
          <a:sp3d contourW="9525">
            <a:contourClr>
              <a:schemeClr val="accent1">
                <a:lumMod val="75000"/>
              </a:schemeClr>
            </a:contourClr>
          </a:sp3d>
        </c:spPr>
      </c:pivotFmt>
      <c:pivotFmt>
        <c:idx val="12"/>
        <c:spPr>
          <a:solidFill>
            <a:srgbClr val="01BCFF"/>
          </a:solidFill>
          <a:ln w="9525" cap="flat" cmpd="sng" algn="ctr">
            <a:solidFill>
              <a:schemeClr val="accent1">
                <a:lumMod val="75000"/>
              </a:schemeClr>
            </a:solidFill>
            <a:round/>
          </a:ln>
          <a:effectLst/>
          <a:sp3d contourW="9525">
            <a:contourClr>
              <a:schemeClr val="accent1">
                <a:lumMod val="75000"/>
              </a:schemeClr>
            </a:contourClr>
          </a:sp3d>
        </c:spPr>
      </c:pivotFmt>
      <c:pivotFmt>
        <c:idx val="13"/>
        <c:spPr>
          <a:solidFill>
            <a:srgbClr val="4FD1FF"/>
          </a:solidFill>
          <a:ln w="9525" cap="flat" cmpd="sng" algn="ctr">
            <a:solidFill>
              <a:schemeClr val="accent1">
                <a:lumMod val="75000"/>
              </a:schemeClr>
            </a:solidFill>
            <a:round/>
          </a:ln>
          <a:effectLst/>
          <a:sp3d contourW="9525">
            <a:contourClr>
              <a:schemeClr val="accent1">
                <a:lumMod val="75000"/>
              </a:schemeClr>
            </a:contourClr>
          </a:sp3d>
        </c:spPr>
      </c:pivotFmt>
      <c:pivotFmt>
        <c:idx val="14"/>
        <c:spPr>
          <a:solidFill>
            <a:srgbClr val="79DCFF"/>
          </a:solidFill>
          <a:ln w="9525" cap="flat" cmpd="sng" algn="ctr">
            <a:solidFill>
              <a:schemeClr val="accent1">
                <a:lumMod val="75000"/>
              </a:schemeClr>
            </a:solidFill>
            <a:round/>
          </a:ln>
          <a:effectLst/>
          <a:sp3d contourW="9525">
            <a:contourClr>
              <a:schemeClr val="accent1">
                <a:lumMod val="75000"/>
              </a:schemeClr>
            </a:contourClr>
          </a:sp3d>
        </c:spPr>
      </c:pivotFmt>
      <c:pivotFmt>
        <c:idx val="15"/>
        <c:spPr>
          <a:solidFill>
            <a:srgbClr val="9FE6FF"/>
          </a:solidFill>
          <a:ln w="9525" cap="flat" cmpd="sng" algn="ctr">
            <a:solidFill>
              <a:schemeClr val="accent1">
                <a:lumMod val="75000"/>
              </a:schemeClr>
            </a:solidFill>
            <a:round/>
          </a:ln>
          <a:effectLst/>
          <a:sp3d contourW="9525">
            <a:contourClr>
              <a:schemeClr val="accent1">
                <a:lumMod val="75000"/>
              </a:schemeClr>
            </a:contourClr>
          </a:sp3d>
        </c:spPr>
      </c:pivotFmt>
      <c:pivotFmt>
        <c:idx val="16"/>
        <c:spPr>
          <a:solidFill>
            <a:srgbClr val="C9F1FF"/>
          </a:solidFill>
          <a:ln w="9525" cap="flat" cmpd="sng" algn="ctr">
            <a:solidFill>
              <a:schemeClr val="accent1">
                <a:lumMod val="75000"/>
              </a:schemeClr>
            </a:solidFill>
            <a:round/>
          </a:ln>
          <a:effectLst/>
          <a:sp3d contourW="9525">
            <a:contourClr>
              <a:schemeClr val="accent1">
                <a:lumMod val="75000"/>
              </a:schemeClr>
            </a:contourClr>
          </a:sp3d>
        </c:spPr>
      </c:pivotFmt>
      <c:pivotFmt>
        <c:idx val="17"/>
        <c:spPr>
          <a:solidFill>
            <a:srgbClr val="008BBC"/>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00" sourceLinked="0"/>
          <c:spPr>
            <a:solidFill>
              <a:sysClr val="windowText" lastClr="000000"/>
            </a:solidFill>
            <a:ln>
              <a:noFill/>
            </a:ln>
            <a:effectLst>
              <a:glow>
                <a:sysClr val="window" lastClr="FFFFFF"/>
              </a:glow>
              <a:outerShdw blurRad="50800" dist="50800" dir="54000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0A4DE"/>
          </a:solidFill>
          <a:ln w="9525" cap="flat" cmpd="sng" algn="ctr">
            <a:solidFill>
              <a:schemeClr val="accent1">
                <a:lumMod val="75000"/>
              </a:schemeClr>
            </a:solidFill>
            <a:round/>
          </a:ln>
          <a:effectLst/>
          <a:sp3d contourW="9525">
            <a:contourClr>
              <a:schemeClr val="accent1">
                <a:lumMod val="75000"/>
              </a:schemeClr>
            </a:contourClr>
          </a:sp3d>
        </c:spPr>
      </c:pivotFmt>
      <c:pivotFmt>
        <c:idx val="19"/>
        <c:spPr>
          <a:solidFill>
            <a:srgbClr val="01BCFF"/>
          </a:solidFill>
          <a:ln w="9525" cap="flat" cmpd="sng" algn="ctr">
            <a:solidFill>
              <a:schemeClr val="accent1">
                <a:lumMod val="75000"/>
              </a:schemeClr>
            </a:solidFill>
            <a:round/>
          </a:ln>
          <a:effectLst/>
          <a:sp3d contourW="9525">
            <a:contourClr>
              <a:schemeClr val="accent1">
                <a:lumMod val="75000"/>
              </a:schemeClr>
            </a:contourClr>
          </a:sp3d>
        </c:spPr>
      </c:pivotFmt>
      <c:pivotFmt>
        <c:idx val="20"/>
        <c:spPr>
          <a:solidFill>
            <a:srgbClr val="4FD1FF"/>
          </a:solidFill>
          <a:ln w="9525" cap="flat" cmpd="sng" algn="ctr">
            <a:solidFill>
              <a:schemeClr val="accent1">
                <a:lumMod val="75000"/>
              </a:schemeClr>
            </a:solidFill>
            <a:round/>
          </a:ln>
          <a:effectLst/>
          <a:sp3d contourW="9525">
            <a:contourClr>
              <a:schemeClr val="accent1">
                <a:lumMod val="75000"/>
              </a:schemeClr>
            </a:contourClr>
          </a:sp3d>
        </c:spPr>
      </c:pivotFmt>
      <c:pivotFmt>
        <c:idx val="21"/>
        <c:spPr>
          <a:solidFill>
            <a:srgbClr val="79DCFF"/>
          </a:solidFill>
          <a:ln w="9525" cap="flat" cmpd="sng" algn="ctr">
            <a:solidFill>
              <a:schemeClr val="accent1">
                <a:lumMod val="75000"/>
              </a:schemeClr>
            </a:solidFill>
            <a:round/>
          </a:ln>
          <a:effectLst/>
          <a:sp3d contourW="9525">
            <a:contourClr>
              <a:schemeClr val="accent1">
                <a:lumMod val="75000"/>
              </a:schemeClr>
            </a:contourClr>
          </a:sp3d>
        </c:spPr>
      </c:pivotFmt>
      <c:pivotFmt>
        <c:idx val="22"/>
        <c:spPr>
          <a:solidFill>
            <a:srgbClr val="9FE6FF"/>
          </a:solidFill>
          <a:ln w="9525" cap="flat" cmpd="sng" algn="ctr">
            <a:solidFill>
              <a:schemeClr val="accent1">
                <a:lumMod val="75000"/>
              </a:schemeClr>
            </a:solidFill>
            <a:round/>
          </a:ln>
          <a:effectLst/>
          <a:sp3d contourW="9525">
            <a:contourClr>
              <a:schemeClr val="accent1">
                <a:lumMod val="75000"/>
              </a:schemeClr>
            </a:contourClr>
          </a:sp3d>
        </c:spPr>
      </c:pivotFmt>
      <c:pivotFmt>
        <c:idx val="23"/>
        <c:spPr>
          <a:solidFill>
            <a:srgbClr val="C9F1FF"/>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33477979581211"/>
          <c:y val="0.20381313525610997"/>
          <c:w val="0.70876156512500066"/>
          <c:h val="0.7085635683641528"/>
        </c:manualLayout>
      </c:layout>
      <c:bar3DChart>
        <c:barDir val="bar"/>
        <c:grouping val="clustered"/>
        <c:varyColors val="0"/>
        <c:ser>
          <c:idx val="0"/>
          <c:order val="0"/>
          <c:tx>
            <c:strRef>
              <c:f>ANAYLIS!$E$23</c:f>
              <c:strCache>
                <c:ptCount val="1"/>
                <c:pt idx="0">
                  <c:v>Total</c:v>
                </c:pt>
              </c:strCache>
            </c:strRef>
          </c:tx>
          <c:spPr>
            <a:solidFill>
              <a:srgbClr val="008BBC"/>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1"/>
            <c:invertIfNegative val="0"/>
            <c:bubble3D val="0"/>
            <c:spPr>
              <a:solidFill>
                <a:srgbClr val="00A4DE"/>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4A90-47B5-90D5-ECDDB6575069}"/>
              </c:ext>
            </c:extLst>
          </c:dPt>
          <c:dPt>
            <c:idx val="2"/>
            <c:invertIfNegative val="0"/>
            <c:bubble3D val="0"/>
            <c:spPr>
              <a:solidFill>
                <a:srgbClr val="01BC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3-4A90-47B5-90D5-ECDDB6575069}"/>
              </c:ext>
            </c:extLst>
          </c:dPt>
          <c:dPt>
            <c:idx val="3"/>
            <c:invertIfNegative val="0"/>
            <c:bubble3D val="0"/>
            <c:spPr>
              <a:solidFill>
                <a:srgbClr val="4FD1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5-4A90-47B5-90D5-ECDDB6575069}"/>
              </c:ext>
            </c:extLst>
          </c:dPt>
          <c:dPt>
            <c:idx val="4"/>
            <c:invertIfNegative val="0"/>
            <c:bubble3D val="0"/>
            <c:spPr>
              <a:solidFill>
                <a:srgbClr val="79DC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7-4A90-47B5-90D5-ECDDB6575069}"/>
              </c:ext>
            </c:extLst>
          </c:dPt>
          <c:dPt>
            <c:idx val="5"/>
            <c:invertIfNegative val="0"/>
            <c:bubble3D val="0"/>
            <c:spPr>
              <a:solidFill>
                <a:srgbClr val="9FE6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9-4A90-47B5-90D5-ECDDB6575069}"/>
              </c:ext>
            </c:extLst>
          </c:dPt>
          <c:dPt>
            <c:idx val="6"/>
            <c:invertIfNegative val="0"/>
            <c:bubble3D val="0"/>
            <c:spPr>
              <a:solidFill>
                <a:srgbClr val="C9F1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B-4A90-47B5-90D5-ECDDB6575069}"/>
              </c:ext>
            </c:extLst>
          </c:dPt>
          <c:dLbls>
            <c:numFmt formatCode="#,##0.00" sourceLinked="0"/>
            <c:spPr>
              <a:solidFill>
                <a:sysClr val="windowText" lastClr="000000"/>
              </a:solidFill>
              <a:ln>
                <a:noFill/>
              </a:ln>
              <a:effectLst>
                <a:glow>
                  <a:sysClr val="window" lastClr="FFFFFF"/>
                </a:glow>
                <a:outerShdw blurRad="50800" dist="50800" dir="54000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ANAYLIS!$D$24:$D$31</c:f>
              <c:strCache>
                <c:ptCount val="7"/>
                <c:pt idx="0">
                  <c:v>New York</c:v>
                </c:pt>
                <c:pt idx="1">
                  <c:v>Seattle</c:v>
                </c:pt>
                <c:pt idx="2">
                  <c:v>Miami</c:v>
                </c:pt>
                <c:pt idx="3">
                  <c:v>Denver</c:v>
                </c:pt>
                <c:pt idx="4">
                  <c:v>Austin</c:v>
                </c:pt>
                <c:pt idx="5">
                  <c:v>Chicago</c:v>
                </c:pt>
                <c:pt idx="6">
                  <c:v>Houston</c:v>
                </c:pt>
              </c:strCache>
            </c:strRef>
          </c:cat>
          <c:val>
            <c:numRef>
              <c:f>ANAYLIS!$E$24:$E$31</c:f>
              <c:numCache>
                <c:formatCode>0.00</c:formatCode>
                <c:ptCount val="7"/>
                <c:pt idx="0">
                  <c:v>1032.3332611987764</c:v>
                </c:pt>
                <c:pt idx="1">
                  <c:v>729.7617623350942</c:v>
                </c:pt>
                <c:pt idx="2">
                  <c:v>677.49822026291054</c:v>
                </c:pt>
                <c:pt idx="3">
                  <c:v>589.82990387740119</c:v>
                </c:pt>
                <c:pt idx="4">
                  <c:v>555.06425430141542</c:v>
                </c:pt>
                <c:pt idx="5">
                  <c:v>442.13677525783322</c:v>
                </c:pt>
                <c:pt idx="6">
                  <c:v>339.71488664319889</c:v>
                </c:pt>
              </c:numCache>
            </c:numRef>
          </c:val>
          <c:extLst>
            <c:ext xmlns:c16="http://schemas.microsoft.com/office/drawing/2014/chart" uri="{C3380CC4-5D6E-409C-BE32-E72D297353CC}">
              <c16:uniqueId val="{0000000C-4A90-47B5-90D5-ECDDB6575069}"/>
            </c:ext>
          </c:extLst>
        </c:ser>
        <c:dLbls>
          <c:showLegendKey val="0"/>
          <c:showVal val="1"/>
          <c:showCatName val="0"/>
          <c:showSerName val="0"/>
          <c:showPercent val="0"/>
          <c:showBubbleSize val="0"/>
        </c:dLbls>
        <c:gapWidth val="65"/>
        <c:shape val="box"/>
        <c:axId val="1385665168"/>
        <c:axId val="1385665584"/>
        <c:axId val="0"/>
      </c:bar3DChart>
      <c:catAx>
        <c:axId val="13856651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Georgia" panose="02040502050405020303" pitchFamily="18" charset="0"/>
                <a:ea typeface="Segoe UI Emoji" panose="020B0502040204020203" pitchFamily="34" charset="0"/>
                <a:cs typeface="+mn-cs"/>
              </a:defRPr>
            </a:pPr>
            <a:endParaRPr lang="en-US"/>
          </a:p>
        </c:txPr>
        <c:crossAx val="1385665584"/>
        <c:crosses val="autoZero"/>
        <c:auto val="1"/>
        <c:lblAlgn val="ctr"/>
        <c:lblOffset val="100"/>
        <c:noMultiLvlLbl val="0"/>
      </c:catAx>
      <c:valAx>
        <c:axId val="1385665584"/>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38566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[real_estate_property_analysis_raw_data.xlsx]ANAYLIS!PivotTable6</c:name>
    <c:fmtId val="12"/>
  </c:pivotSource>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latin typeface="Georgia" panose="02040502050405020303" pitchFamily="18" charset="0"/>
              </a:rPr>
              <a:t>Average Price by Furnishing Type</a:t>
            </a:r>
            <a:endParaRPr lang="en-US" b="1">
              <a:solidFill>
                <a:schemeClr val="tx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6D81"/>
          </a:solidFill>
          <a:ln>
            <a:noFill/>
          </a:ln>
          <a:effectLst>
            <a:outerShdw blurRad="50800" dist="38100" dir="2700000" algn="tl" rotWithShape="0">
              <a:prstClr val="black">
                <a:alpha val="40000"/>
              </a:prstClr>
            </a:outerShdw>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B6D81"/>
          </a:solidFill>
          <a:ln>
            <a:noFill/>
          </a:ln>
          <a:effectLst>
            <a:outerShdw blurRad="50800" dist="38100" dir="2700000" algn="tl" rotWithShape="0">
              <a:prstClr val="black">
                <a:alpha val="40000"/>
              </a:prstClr>
            </a:outerShdw>
          </a:effectLst>
        </c:spPr>
      </c:pivotFmt>
      <c:pivotFmt>
        <c:idx val="4"/>
        <c:spPr>
          <a:solidFill>
            <a:srgbClr val="6CA5BC"/>
          </a:solidFill>
          <a:ln>
            <a:noFill/>
          </a:ln>
          <a:effectLst>
            <a:outerShdw blurRad="50800" dist="38100" dir="2700000" algn="tl" rotWithShape="0">
              <a:prstClr val="black">
                <a:alpha val="40000"/>
              </a:prstClr>
            </a:outerShdw>
          </a:effectLst>
        </c:spPr>
      </c:pivotFmt>
      <c:pivotFmt>
        <c:idx val="5"/>
        <c:spPr>
          <a:solidFill>
            <a:srgbClr val="A3C7D5"/>
          </a:solidFill>
          <a:ln>
            <a:noFill/>
          </a:ln>
          <a:effectLst>
            <a:outerShdw blurRad="50800" dist="38100" dir="2700000" algn="tl" rotWithShape="0">
              <a:prstClr val="black">
                <a:alpha val="40000"/>
              </a:prstClr>
            </a:outerShdw>
          </a:effectLst>
        </c:spPr>
      </c:pivotFmt>
      <c:pivotFmt>
        <c:idx val="6"/>
        <c:spPr>
          <a:solidFill>
            <a:srgbClr val="3B6D81"/>
          </a:solidFill>
          <a:ln>
            <a:noFill/>
          </a:ln>
          <a:effectLst>
            <a:outerShdw blurRad="50800" dist="38100" dir="2700000" algn="tl" rotWithShape="0">
              <a:prstClr val="black">
                <a:alpha val="40000"/>
              </a:prstClr>
            </a:outerShdw>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CA5BC"/>
          </a:solidFill>
          <a:ln>
            <a:noFill/>
          </a:ln>
          <a:effectLst>
            <a:outerShdw blurRad="50800" dist="38100" dir="2700000" algn="tl" rotWithShape="0">
              <a:prstClr val="black">
                <a:alpha val="40000"/>
              </a:prstClr>
            </a:outerShdw>
          </a:effectLst>
        </c:spPr>
      </c:pivotFmt>
      <c:pivotFmt>
        <c:idx val="8"/>
        <c:spPr>
          <a:solidFill>
            <a:srgbClr val="A3C7D5"/>
          </a:solidFill>
          <a:ln>
            <a:noFill/>
          </a:ln>
          <a:effectLst>
            <a:outerShdw blurRad="50800" dist="38100" dir="2700000" algn="tl" rotWithShape="0">
              <a:prstClr val="black">
                <a:alpha val="40000"/>
              </a:prstClr>
            </a:outerShdw>
          </a:effectLst>
        </c:spPr>
      </c:pivotFmt>
      <c:pivotFmt>
        <c:idx val="9"/>
        <c:spPr>
          <a:solidFill>
            <a:srgbClr val="3B6D81"/>
          </a:solidFill>
          <a:ln>
            <a:noFill/>
          </a:ln>
          <a:effectLst>
            <a:outerShdw blurRad="50800" dist="38100" dir="2700000" algn="tl" rotWithShape="0">
              <a:prstClr val="black">
                <a:alpha val="40000"/>
              </a:prstClr>
            </a:outerShdw>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CA5BC"/>
          </a:solidFill>
          <a:ln>
            <a:noFill/>
          </a:ln>
          <a:effectLst>
            <a:outerShdw blurRad="50800" dist="38100" dir="2700000" algn="tl" rotWithShape="0">
              <a:prstClr val="black">
                <a:alpha val="40000"/>
              </a:prstClr>
            </a:outerShdw>
          </a:effectLst>
        </c:spPr>
      </c:pivotFmt>
      <c:pivotFmt>
        <c:idx val="11"/>
        <c:spPr>
          <a:solidFill>
            <a:srgbClr val="A3C7D5"/>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2.7052201558350007E-3"/>
          <c:y val="0.27111152282435286"/>
          <c:w val="0.93888888888888888"/>
          <c:h val="0.53512831729367161"/>
        </c:manualLayout>
      </c:layout>
      <c:barChart>
        <c:barDir val="col"/>
        <c:grouping val="stacked"/>
        <c:varyColors val="0"/>
        <c:ser>
          <c:idx val="0"/>
          <c:order val="0"/>
          <c:tx>
            <c:strRef>
              <c:f>ANAYLIS!$H$23</c:f>
              <c:strCache>
                <c:ptCount val="1"/>
                <c:pt idx="0">
                  <c:v>Total</c:v>
                </c:pt>
              </c:strCache>
            </c:strRef>
          </c:tx>
          <c:spPr>
            <a:solidFill>
              <a:srgbClr val="3B6D81"/>
            </a:solidFill>
            <a:ln>
              <a:noFill/>
            </a:ln>
            <a:effectLst>
              <a:outerShdw blurRad="50800" dist="38100" dir="2700000" algn="tl" rotWithShape="0">
                <a:prstClr val="black">
                  <a:alpha val="40000"/>
                </a:prstClr>
              </a:outerShdw>
            </a:effectLst>
          </c:spPr>
          <c:invertIfNegative val="0"/>
          <c:dPt>
            <c:idx val="1"/>
            <c:invertIfNegative val="0"/>
            <c:bubble3D val="0"/>
            <c:spPr>
              <a:solidFill>
                <a:srgbClr val="6CA5BC"/>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C28-4A84-8AEE-268B143C91B3}"/>
              </c:ext>
            </c:extLst>
          </c:dPt>
          <c:dPt>
            <c:idx val="2"/>
            <c:invertIfNegative val="0"/>
            <c:bubble3D val="0"/>
            <c:spPr>
              <a:solidFill>
                <a:srgbClr val="A3C7D5"/>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C28-4A84-8AEE-268B143C91B3}"/>
              </c:ext>
            </c:extLst>
          </c:dPt>
          <c:dLbls>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ANAYLIS!$G$24:$G$27</c:f>
              <c:strCache>
                <c:ptCount val="3"/>
                <c:pt idx="0">
                  <c:v>Unfurnished</c:v>
                </c:pt>
                <c:pt idx="1">
                  <c:v>Furnished</c:v>
                </c:pt>
                <c:pt idx="2">
                  <c:v>Semi-Furnished</c:v>
                </c:pt>
              </c:strCache>
            </c:strRef>
          </c:cat>
          <c:val>
            <c:numRef>
              <c:f>ANAYLIS!$H$24:$H$27</c:f>
              <c:numCache>
                <c:formatCode>General</c:formatCode>
                <c:ptCount val="3"/>
                <c:pt idx="0">
                  <c:v>902077.39819010999</c:v>
                </c:pt>
                <c:pt idx="1">
                  <c:v>887398.79518072284</c:v>
                </c:pt>
                <c:pt idx="2">
                  <c:v>859944.4444444445</c:v>
                </c:pt>
              </c:numCache>
            </c:numRef>
          </c:val>
          <c:extLst>
            <c:ext xmlns:c16="http://schemas.microsoft.com/office/drawing/2014/chart" uri="{C3380CC4-5D6E-409C-BE32-E72D297353CC}">
              <c16:uniqueId val="{00000004-BC28-4A84-8AEE-268B143C91B3}"/>
            </c:ext>
          </c:extLst>
        </c:ser>
        <c:dLbls>
          <c:dLblPos val="inEnd"/>
          <c:showLegendKey val="0"/>
          <c:showVal val="1"/>
          <c:showCatName val="0"/>
          <c:showSerName val="0"/>
          <c:showPercent val="0"/>
          <c:showBubbleSize val="0"/>
        </c:dLbls>
        <c:gapWidth val="150"/>
        <c:overlap val="100"/>
        <c:axId val="1136479296"/>
        <c:axId val="1136490944"/>
      </c:barChart>
      <c:catAx>
        <c:axId val="113647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136490944"/>
        <c:crosses val="autoZero"/>
        <c:auto val="1"/>
        <c:lblAlgn val="ctr"/>
        <c:lblOffset val="100"/>
        <c:noMultiLvlLbl val="0"/>
      </c:catAx>
      <c:valAx>
        <c:axId val="1136490944"/>
        <c:scaling>
          <c:orientation val="minMax"/>
        </c:scaling>
        <c:delete val="1"/>
        <c:axPos val="l"/>
        <c:numFmt formatCode="General" sourceLinked="1"/>
        <c:majorTickMark val="none"/>
        <c:minorTickMark val="none"/>
        <c:tickLblPos val="nextTo"/>
        <c:crossAx val="113647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[real_estate_property_analysis_raw_data.xlsx]ANAYLIS!PivotTable3</c:name>
    <c:fmtId val="4"/>
  </c:pivotSource>
  <c:chart>
    <c:title>
      <c:tx>
        <c:rich>
          <a:bodyPr rot="0" spcFirstLastPara="1" vertOverflow="ellipsis" vert="horz" wrap="square" anchor="ctr" anchorCtr="1"/>
          <a:lstStyle/>
          <a:p>
            <a:pPr>
              <a:defRPr b="1" i="0" u="none" strike="noStrike" kern="1200" baseline="0">
                <a:solidFill>
                  <a:schemeClr val="tx1"/>
                </a:solidFill>
                <a:effectLst/>
                <a:latin typeface="Georgia" panose="02040502050405020303" pitchFamily="18" charset="0"/>
                <a:ea typeface="+mn-ea"/>
                <a:cs typeface="+mn-cs"/>
              </a:defRPr>
            </a:pPr>
            <a:r>
              <a:rPr lang="en-US" sz="1500" b="1">
                <a:solidFill>
                  <a:schemeClr val="tx1"/>
                </a:solidFill>
                <a:latin typeface="Georgia" panose="02040502050405020303" pitchFamily="18" charset="0"/>
              </a:rPr>
              <a:t>Property Listings by Property Type</a:t>
            </a:r>
          </a:p>
        </c:rich>
      </c:tx>
      <c:layout>
        <c:manualLayout>
          <c:xMode val="edge"/>
          <c:yMode val="edge"/>
          <c:x val="0.20674421379145788"/>
          <c:y val="4.8053368328958894E-2"/>
        </c:manualLayout>
      </c:layout>
      <c:overlay val="0"/>
      <c:spPr>
        <a:noFill/>
        <a:ln>
          <a:noFill/>
        </a:ln>
        <a:effectLst/>
      </c:spPr>
      <c:txPr>
        <a:bodyPr rot="0" spcFirstLastPara="1" vertOverflow="ellipsis" vert="horz" wrap="square" anchor="ctr" anchorCtr="1"/>
        <a:lstStyle/>
        <a:p>
          <a:pPr>
            <a:defRPr b="1" i="0" u="none" strike="noStrike" kern="1200" baseline="0">
              <a:solidFill>
                <a:schemeClr val="tx1"/>
              </a:solidFill>
              <a:effectLst/>
              <a:latin typeface="Georgia" panose="020405020504050203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a:outerShdw blurRad="76200" dir="18900000" sy="23000" kx="-1200000" algn="bl" rotWithShape="0">
              <a:prstClr val="black">
                <a:alpha val="20000"/>
              </a:prstClr>
            </a:outerShdw>
          </a:effectLst>
        </c:spPr>
      </c:pivotFmt>
      <c:pivotFmt>
        <c:idx val="4"/>
        <c:spPr>
          <a:solidFill>
            <a:schemeClr val="tx2">
              <a:lumMod val="90000"/>
              <a:lumOff val="10000"/>
            </a:schemeClr>
          </a:solidFill>
          <a:ln>
            <a:noFill/>
          </a:ln>
          <a:effectLst>
            <a:outerShdw blurRad="76200" dir="18900000" sy="23000" kx="-1200000" algn="bl" rotWithShape="0">
              <a:prstClr val="black">
                <a:alpha val="20000"/>
              </a:prstClr>
            </a:outerShdw>
          </a:effectLst>
        </c:spPr>
      </c:pivotFmt>
      <c:pivotFmt>
        <c:idx val="5"/>
        <c:spPr>
          <a:solidFill>
            <a:schemeClr val="tx2">
              <a:lumMod val="90000"/>
              <a:lumOff val="10000"/>
            </a:schemeClr>
          </a:solidFill>
          <a:ln>
            <a:noFill/>
          </a:ln>
          <a:effectLst>
            <a:outerShdw blurRad="76200" dir="18900000" sy="23000" kx="-1200000" algn="bl" rotWithShape="0">
              <a:prstClr val="black">
                <a:alpha val="20000"/>
              </a:prstClr>
            </a:outerShdw>
          </a:effectLst>
        </c:spPr>
      </c:pivotFmt>
      <c:pivotFmt>
        <c:idx val="6"/>
        <c:spPr>
          <a:solidFill>
            <a:schemeClr val="tx2">
              <a:lumMod val="25000"/>
              <a:lumOff val="75000"/>
            </a:schemeClr>
          </a:solidFill>
          <a:ln>
            <a:noFill/>
          </a:ln>
          <a:effectLst>
            <a:outerShdw blurRad="76200" dir="18900000" sy="23000" kx="-1200000" algn="bl" rotWithShape="0">
              <a:prstClr val="black">
                <a:alpha val="20000"/>
              </a:prstClr>
            </a:outerShdw>
          </a:effectLst>
        </c:spPr>
      </c:pivotFmt>
      <c:pivotFmt>
        <c:idx val="7"/>
        <c:spPr>
          <a:solidFill>
            <a:schemeClr val="tx2">
              <a:lumMod val="90000"/>
              <a:lumOff val="1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a:noFill/>
          </a:ln>
          <a:effectLst>
            <a:outerShdw blurRad="76200" dir="18900000" sy="23000" kx="-1200000" algn="bl" rotWithShape="0">
              <a:prstClr val="black">
                <a:alpha val="20000"/>
              </a:prstClr>
            </a:outerShdw>
          </a:effectLst>
        </c:spPr>
      </c:pivotFmt>
      <c:pivotFmt>
        <c:idx val="9"/>
        <c:spPr>
          <a:solidFill>
            <a:schemeClr val="tx2">
              <a:lumMod val="90000"/>
              <a:lumOff val="1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25000"/>
              <a:lumOff val="75000"/>
            </a:schemeClr>
          </a:soli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0.1476551794662031"/>
          <c:y val="0.25103980752405947"/>
          <c:w val="0.82248140857392826"/>
          <c:h val="0.52987350539515898"/>
        </c:manualLayout>
      </c:layout>
      <c:barChart>
        <c:barDir val="col"/>
        <c:grouping val="clustered"/>
        <c:varyColors val="0"/>
        <c:ser>
          <c:idx val="0"/>
          <c:order val="0"/>
          <c:tx>
            <c:strRef>
              <c:f>ANAYLIS!$E$3</c:f>
              <c:strCache>
                <c:ptCount val="1"/>
                <c:pt idx="0">
                  <c:v>Total</c:v>
                </c:pt>
              </c:strCache>
            </c:strRef>
          </c:tx>
          <c:spPr>
            <a:solidFill>
              <a:schemeClr val="tx2">
                <a:lumMod val="90000"/>
                <a:lumOff val="10000"/>
              </a:schemeClr>
            </a:solidFill>
            <a:ln>
              <a:noFill/>
            </a:ln>
            <a:effectLst>
              <a:outerShdw blurRad="76200" dir="18900000" sy="23000" kx="-1200000" algn="bl" rotWithShape="0">
                <a:prstClr val="black">
                  <a:alpha val="20000"/>
                </a:prstClr>
              </a:outerShdw>
            </a:effectLst>
          </c:spPr>
          <c:invertIfNegative val="0"/>
          <c:dPt>
            <c:idx val="3"/>
            <c:invertIfNegative val="0"/>
            <c:bubble3D val="0"/>
            <c:extLst>
              <c:ext xmlns:c16="http://schemas.microsoft.com/office/drawing/2014/chart" uri="{C3380CC4-5D6E-409C-BE32-E72D297353CC}">
                <c16:uniqueId val="{00000001-B0A7-437D-8280-CD6322E35FB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ANAYLIS!$D$4:$D$8</c:f>
              <c:strCache>
                <c:ptCount val="4"/>
                <c:pt idx="0">
                  <c:v>House</c:v>
                </c:pt>
                <c:pt idx="1">
                  <c:v>Apartment</c:v>
                </c:pt>
                <c:pt idx="2">
                  <c:v>Condo</c:v>
                </c:pt>
                <c:pt idx="3">
                  <c:v>Townhouse</c:v>
                </c:pt>
              </c:strCache>
            </c:strRef>
          </c:cat>
          <c:val>
            <c:numRef>
              <c:f>ANAYLIS!$E$4:$E$8</c:f>
              <c:numCache>
                <c:formatCode>General</c:formatCode>
                <c:ptCount val="4"/>
                <c:pt idx="0">
                  <c:v>142</c:v>
                </c:pt>
                <c:pt idx="1">
                  <c:v>128</c:v>
                </c:pt>
                <c:pt idx="2">
                  <c:v>121</c:v>
                </c:pt>
                <c:pt idx="3">
                  <c:v>119</c:v>
                </c:pt>
              </c:numCache>
            </c:numRef>
          </c:val>
          <c:extLst>
            <c:ext xmlns:c16="http://schemas.microsoft.com/office/drawing/2014/chart" uri="{C3380CC4-5D6E-409C-BE32-E72D297353CC}">
              <c16:uniqueId val="{00000002-B0A7-437D-8280-CD6322E35FB7}"/>
            </c:ext>
          </c:extLst>
        </c:ser>
        <c:dLbls>
          <c:dLblPos val="inEnd"/>
          <c:showLegendKey val="0"/>
          <c:showVal val="1"/>
          <c:showCatName val="0"/>
          <c:showSerName val="0"/>
          <c:showPercent val="0"/>
          <c:showBubbleSize val="0"/>
        </c:dLbls>
        <c:gapWidth val="41"/>
        <c:axId val="714780895"/>
        <c:axId val="714782143"/>
      </c:barChart>
      <c:catAx>
        <c:axId val="714780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effectLst/>
                <a:latin typeface="Segoe UI" panose="020B0502040204020203" pitchFamily="34" charset="0"/>
                <a:ea typeface="Segoe UI Black" panose="020B0A02040204020203" pitchFamily="34" charset="0"/>
                <a:cs typeface="Segoe UI" panose="020B0502040204020203" pitchFamily="34" charset="0"/>
              </a:defRPr>
            </a:pPr>
            <a:endParaRPr lang="en-US"/>
          </a:p>
        </c:txPr>
        <c:crossAx val="714782143"/>
        <c:crosses val="autoZero"/>
        <c:auto val="1"/>
        <c:lblAlgn val="ctr"/>
        <c:lblOffset val="100"/>
        <c:noMultiLvlLbl val="0"/>
      </c:catAx>
      <c:valAx>
        <c:axId val="714782143"/>
        <c:scaling>
          <c:orientation val="minMax"/>
        </c:scaling>
        <c:delete val="1"/>
        <c:axPos val="l"/>
        <c:numFmt formatCode="General" sourceLinked="1"/>
        <c:majorTickMark val="none"/>
        <c:minorTickMark val="none"/>
        <c:tickLblPos val="nextTo"/>
        <c:crossAx val="71478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jpeg"/><Relationship Id="rId7" Type="http://schemas.openxmlformats.org/officeDocument/2006/relationships/chart" Target="../charts/chart4.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514350</xdr:colOff>
      <xdr:row>0</xdr:row>
      <xdr:rowOff>0</xdr:rowOff>
    </xdr:from>
    <xdr:to>
      <xdr:col>26</xdr:col>
      <xdr:colOff>171450</xdr:colOff>
      <xdr:row>46</xdr:row>
      <xdr:rowOff>76200</xdr:rowOff>
    </xdr:to>
    <xdr:sp macro="" textlink="">
      <xdr:nvSpPr>
        <xdr:cNvPr id="5" name="Rectangle 4">
          <a:extLst>
            <a:ext uri="{FF2B5EF4-FFF2-40B4-BE49-F238E27FC236}">
              <a16:creationId xmlns:a16="http://schemas.microsoft.com/office/drawing/2014/main" id="{96AD2E0D-CD17-4E18-84FA-7FD7F438AB30}"/>
            </a:ext>
          </a:extLst>
        </xdr:cNvPr>
        <xdr:cNvSpPr/>
      </xdr:nvSpPr>
      <xdr:spPr>
        <a:xfrm>
          <a:off x="1885950" y="0"/>
          <a:ext cx="16116300" cy="8305800"/>
        </a:xfrm>
        <a:prstGeom prst="rect">
          <a:avLst/>
        </a:prstGeom>
        <a:solidFill>
          <a:schemeClr val="tx2">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523875</xdr:colOff>
      <xdr:row>49</xdr:row>
      <xdr:rowOff>161925</xdr:rowOff>
    </xdr:to>
    <xdr:sp macro="" textlink="">
      <xdr:nvSpPr>
        <xdr:cNvPr id="2" name="Rectangle 1">
          <a:extLst>
            <a:ext uri="{FF2B5EF4-FFF2-40B4-BE49-F238E27FC236}">
              <a16:creationId xmlns:a16="http://schemas.microsoft.com/office/drawing/2014/main" id="{1FEEFF03-6406-46BB-9371-ED4B8F099387}"/>
            </a:ext>
          </a:extLst>
        </xdr:cNvPr>
        <xdr:cNvSpPr/>
      </xdr:nvSpPr>
      <xdr:spPr>
        <a:xfrm>
          <a:off x="0" y="0"/>
          <a:ext cx="1895475" cy="8934450"/>
        </a:xfrm>
        <a:prstGeom prst="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542925</xdr:colOff>
      <xdr:row>0</xdr:row>
      <xdr:rowOff>0</xdr:rowOff>
    </xdr:from>
    <xdr:to>
      <xdr:col>26</xdr:col>
      <xdr:colOff>190500</xdr:colOff>
      <xdr:row>54</xdr:row>
      <xdr:rowOff>66675</xdr:rowOff>
    </xdr:to>
    <xdr:sp macro="" textlink="">
      <xdr:nvSpPr>
        <xdr:cNvPr id="3" name="Rectangle 2">
          <a:extLst>
            <a:ext uri="{FF2B5EF4-FFF2-40B4-BE49-F238E27FC236}">
              <a16:creationId xmlns:a16="http://schemas.microsoft.com/office/drawing/2014/main" id="{9BD9BF11-9D7C-4F4F-89C1-2B86424B51F5}"/>
            </a:ext>
          </a:extLst>
        </xdr:cNvPr>
        <xdr:cNvSpPr/>
      </xdr:nvSpPr>
      <xdr:spPr>
        <a:xfrm>
          <a:off x="1914525" y="0"/>
          <a:ext cx="16106775" cy="9744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blipFill dpi="0" rotWithShape="1">
              <a:blip xmlns:r="http://schemas.openxmlformats.org/officeDocument/2006/relationships" r:embed="rId1"/>
              <a:srcRect/>
              <a:tile tx="95250" ty="0" sx="100000" sy="100000" flip="none" algn="tl"/>
            </a:blipFill>
            <a:effectLst>
              <a:outerShdw blurRad="50800" dist="38100" dir="2700000" algn="tl" rotWithShape="0">
                <a:prstClr val="black">
                  <a:alpha val="40000"/>
                </a:prstClr>
              </a:outerShdw>
            </a:effectLst>
          </a:endParaRPr>
        </a:p>
      </xdr:txBody>
    </xdr:sp>
    <xdr:clientData/>
  </xdr:twoCellAnchor>
  <xdr:twoCellAnchor>
    <xdr:from>
      <xdr:col>0</xdr:col>
      <xdr:colOff>609600</xdr:colOff>
      <xdr:row>2</xdr:row>
      <xdr:rowOff>76201</xdr:rowOff>
    </xdr:from>
    <xdr:to>
      <xdr:col>2</xdr:col>
      <xdr:colOff>523875</xdr:colOff>
      <xdr:row>6</xdr:row>
      <xdr:rowOff>114301</xdr:rowOff>
    </xdr:to>
    <xdr:sp macro="" textlink="ANAYLIS!K21">
      <xdr:nvSpPr>
        <xdr:cNvPr id="4" name="TextBox 3">
          <a:extLst>
            <a:ext uri="{FF2B5EF4-FFF2-40B4-BE49-F238E27FC236}">
              <a16:creationId xmlns:a16="http://schemas.microsoft.com/office/drawing/2014/main" id="{D863AFF4-099C-46D4-8123-0BC119F4980B}"/>
            </a:ext>
          </a:extLst>
        </xdr:cNvPr>
        <xdr:cNvSpPr txBox="1"/>
      </xdr:nvSpPr>
      <xdr:spPr>
        <a:xfrm>
          <a:off x="609600" y="438151"/>
          <a:ext cx="128587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ED84B74-099E-4F4C-AF08-A50AA6733CD6}" type="TxLink">
            <a:rPr lang="en-US" sz="2000" b="0" i="0" u="none" strike="noStrike">
              <a:blipFill>
                <a:blip xmlns:r="http://schemas.openxmlformats.org/officeDocument/2006/relationships" r:embed="rId2"/>
                <a:tile tx="0" ty="0" sx="100000" sy="100000" flip="none" algn="tl"/>
              </a:blipFill>
              <a:effectLst>
                <a:outerShdw blurRad="50800" dist="38100" dir="2700000" sx="103000" sy="103000" algn="tl" rotWithShape="0">
                  <a:prstClr val="black"/>
                </a:outerShdw>
              </a:effectLst>
              <a:latin typeface="Carlito"/>
            </a:rPr>
            <a:pPr algn="l"/>
            <a:t>510</a:t>
          </a:fld>
          <a:endParaRPr lang="en-US" sz="2000">
            <a:blipFill>
              <a:blip xmlns:r="http://schemas.openxmlformats.org/officeDocument/2006/relationships" r:embed="rId2"/>
              <a:tile tx="0" ty="0" sx="100000" sy="100000" flip="none" algn="tl"/>
            </a:blipFill>
            <a:effectLst>
              <a:outerShdw blurRad="50800" dist="38100" dir="2700000" sx="103000" sy="103000" algn="tl" rotWithShape="0">
                <a:prstClr val="black"/>
              </a:outerShdw>
            </a:effectLst>
          </a:endParaRPr>
        </a:p>
      </xdr:txBody>
    </xdr:sp>
    <xdr:clientData/>
  </xdr:twoCellAnchor>
  <xdr:twoCellAnchor>
    <xdr:from>
      <xdr:col>0</xdr:col>
      <xdr:colOff>323851</xdr:colOff>
      <xdr:row>8</xdr:row>
      <xdr:rowOff>9525</xdr:rowOff>
    </xdr:from>
    <xdr:to>
      <xdr:col>2</xdr:col>
      <xdr:colOff>342901</xdr:colOff>
      <xdr:row>11</xdr:row>
      <xdr:rowOff>133350</xdr:rowOff>
    </xdr:to>
    <xdr:sp macro="" textlink="ANAYLIS!L21">
      <xdr:nvSpPr>
        <xdr:cNvPr id="7" name="TextBox 6">
          <a:extLst>
            <a:ext uri="{FF2B5EF4-FFF2-40B4-BE49-F238E27FC236}">
              <a16:creationId xmlns:a16="http://schemas.microsoft.com/office/drawing/2014/main" id="{B27105A1-B21A-4F65-9D2B-45C992F5913B}"/>
            </a:ext>
          </a:extLst>
        </xdr:cNvPr>
        <xdr:cNvSpPr txBox="1"/>
      </xdr:nvSpPr>
      <xdr:spPr>
        <a:xfrm>
          <a:off x="323851" y="1362075"/>
          <a:ext cx="139065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493D23E-4384-41B0-9E06-47402AFE85BB}" type="TxLink">
            <a:rPr lang="en-US" sz="2000" b="0" i="0" u="none" strike="noStrike">
              <a:blipFill>
                <a:blip xmlns:r="http://schemas.openxmlformats.org/officeDocument/2006/relationships" r:embed="rId2"/>
                <a:tile tx="0" ty="0" sx="100000" sy="100000" flip="none" algn="tl"/>
              </a:blipFill>
              <a:effectLst>
                <a:outerShdw blurRad="50800" dist="38100" sx="102000" sy="102000" algn="l" rotWithShape="0">
                  <a:prstClr val="black"/>
                </a:outerShdw>
              </a:effectLst>
              <a:latin typeface="Carlito"/>
            </a:rPr>
            <a:pPr algn="l"/>
            <a:t>₹883,916</a:t>
          </a:fld>
          <a:endParaRPr lang="en-US" sz="4000">
            <a:blipFill>
              <a:blip xmlns:r="http://schemas.openxmlformats.org/officeDocument/2006/relationships" r:embed="rId2"/>
              <a:tile tx="0" ty="0" sx="100000" sy="100000" flip="none" algn="tl"/>
            </a:blipFill>
            <a:effectLst>
              <a:outerShdw blurRad="50800" dist="38100" sx="102000" sy="102000" algn="l" rotWithShape="0">
                <a:prstClr val="black"/>
              </a:outerShdw>
            </a:effectLst>
          </a:endParaRPr>
        </a:p>
      </xdr:txBody>
    </xdr:sp>
    <xdr:clientData/>
  </xdr:twoCellAnchor>
  <xdr:twoCellAnchor>
    <xdr:from>
      <xdr:col>0</xdr:col>
      <xdr:colOff>571500</xdr:colOff>
      <xdr:row>12</xdr:row>
      <xdr:rowOff>161925</xdr:rowOff>
    </xdr:from>
    <xdr:to>
      <xdr:col>2</xdr:col>
      <xdr:colOff>523875</xdr:colOff>
      <xdr:row>16</xdr:row>
      <xdr:rowOff>104775</xdr:rowOff>
    </xdr:to>
    <xdr:sp macro="" textlink="ANAYLIS!M21">
      <xdr:nvSpPr>
        <xdr:cNvPr id="8" name="TextBox 7">
          <a:extLst>
            <a:ext uri="{FF2B5EF4-FFF2-40B4-BE49-F238E27FC236}">
              <a16:creationId xmlns:a16="http://schemas.microsoft.com/office/drawing/2014/main" id="{2A6B387E-5AE6-4DFA-AB32-86D6D32F6E64}"/>
            </a:ext>
          </a:extLst>
        </xdr:cNvPr>
        <xdr:cNvSpPr txBox="1"/>
      </xdr:nvSpPr>
      <xdr:spPr>
        <a:xfrm>
          <a:off x="571500" y="2238375"/>
          <a:ext cx="132397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DA93D07-3480-4025-87EB-F1FADAC0CB7B}" type="TxLink">
            <a:rPr lang="en-US" sz="2000" b="0" i="0" u="none" strike="noStrike">
              <a:blipFill>
                <a:blip xmlns:r="http://schemas.openxmlformats.org/officeDocument/2006/relationships" r:embed="rId3"/>
                <a:tile tx="0" ty="0" sx="100000" sy="100000" flip="none" algn="tl"/>
              </a:blipFill>
              <a:effectLst>
                <a:outerShdw blurRad="50800" dist="38100" sx="102000" sy="102000" algn="l" rotWithShape="0">
                  <a:prstClr val="black"/>
                </a:outerShdw>
              </a:effectLst>
              <a:latin typeface="Carlito"/>
            </a:rPr>
            <a:pPr algn="l"/>
            <a:t>1,439 sq.ft.</a:t>
          </a:fld>
          <a:endParaRPr lang="en-US" sz="4000">
            <a:blipFill>
              <a:blip xmlns:r="http://schemas.openxmlformats.org/officeDocument/2006/relationships" r:embed="rId3"/>
              <a:tile tx="0" ty="0" sx="100000" sy="100000" flip="none" algn="tl"/>
            </a:blipFill>
            <a:effectLst>
              <a:outerShdw blurRad="50800" dist="38100" sx="102000" sy="102000" algn="l" rotWithShape="0">
                <a:prstClr val="black"/>
              </a:outerShdw>
            </a:effectLst>
          </a:endParaRPr>
        </a:p>
      </xdr:txBody>
    </xdr:sp>
    <xdr:clientData/>
  </xdr:twoCellAnchor>
  <xdr:twoCellAnchor>
    <xdr:from>
      <xdr:col>0</xdr:col>
      <xdr:colOff>342900</xdr:colOff>
      <xdr:row>20</xdr:row>
      <xdr:rowOff>57150</xdr:rowOff>
    </xdr:from>
    <xdr:to>
      <xdr:col>2</xdr:col>
      <xdr:colOff>542925</xdr:colOff>
      <xdr:row>24</xdr:row>
      <xdr:rowOff>0</xdr:rowOff>
    </xdr:to>
    <xdr:sp macro="" textlink="ANAYLIS!N21">
      <xdr:nvSpPr>
        <xdr:cNvPr id="9" name="TextBox 8">
          <a:extLst>
            <a:ext uri="{FF2B5EF4-FFF2-40B4-BE49-F238E27FC236}">
              <a16:creationId xmlns:a16="http://schemas.microsoft.com/office/drawing/2014/main" id="{426EDB8A-50E0-456D-B591-94219B98DCD9}"/>
            </a:ext>
          </a:extLst>
        </xdr:cNvPr>
        <xdr:cNvSpPr txBox="1"/>
      </xdr:nvSpPr>
      <xdr:spPr>
        <a:xfrm>
          <a:off x="342900" y="3581400"/>
          <a:ext cx="15716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BA02A55-319E-47C8-9A5B-640F6A931DD6}" type="TxLink">
            <a:rPr lang="en-US" sz="2000" b="0" i="0" u="none" strike="noStrike">
              <a:blipFill>
                <a:blip xmlns:r="http://schemas.openxmlformats.org/officeDocument/2006/relationships" r:embed="rId3"/>
                <a:tile tx="0" ty="0" sx="100000" sy="100000" flip="none" algn="tl"/>
              </a:blipFill>
              <a:effectLst>
                <a:outerShdw blurRad="50800" dist="38100" sx="102000" sy="102000" algn="l" rotWithShape="0">
                  <a:prstClr val="black"/>
                </a:outerShdw>
              </a:effectLst>
              <a:latin typeface="Carlito"/>
            </a:rPr>
            <a:pPr algn="l"/>
            <a:t>₹616.41</a:t>
          </a:fld>
          <a:endParaRPr lang="en-US" sz="4000">
            <a:blipFill>
              <a:blip xmlns:r="http://schemas.openxmlformats.org/officeDocument/2006/relationships" r:embed="rId3"/>
              <a:tile tx="0" ty="0" sx="100000" sy="100000" flip="none" algn="tl"/>
            </a:blipFill>
            <a:effectLst>
              <a:outerShdw blurRad="50800" dist="38100" sx="102000" sy="102000" algn="l" rotWithShape="0">
                <a:prstClr val="black"/>
              </a:outerShdw>
            </a:effectLst>
          </a:endParaRPr>
        </a:p>
      </xdr:txBody>
    </xdr:sp>
    <xdr:clientData/>
  </xdr:twoCellAnchor>
  <xdr:twoCellAnchor>
    <xdr:from>
      <xdr:col>0</xdr:col>
      <xdr:colOff>285750</xdr:colOff>
      <xdr:row>0</xdr:row>
      <xdr:rowOff>19050</xdr:rowOff>
    </xdr:from>
    <xdr:to>
      <xdr:col>2</xdr:col>
      <xdr:colOff>542925</xdr:colOff>
      <xdr:row>3</xdr:row>
      <xdr:rowOff>114300</xdr:rowOff>
    </xdr:to>
    <xdr:sp macro="" textlink="ANAYLIS!K21">
      <xdr:nvSpPr>
        <xdr:cNvPr id="10" name="TextBox 9">
          <a:extLst>
            <a:ext uri="{FF2B5EF4-FFF2-40B4-BE49-F238E27FC236}">
              <a16:creationId xmlns:a16="http://schemas.microsoft.com/office/drawing/2014/main" id="{20B8A8E4-E2F4-42CE-B141-B0D37FB5022E}"/>
            </a:ext>
          </a:extLst>
        </xdr:cNvPr>
        <xdr:cNvSpPr txBox="1"/>
      </xdr:nvSpPr>
      <xdr:spPr>
        <a:xfrm>
          <a:off x="285750" y="19050"/>
          <a:ext cx="16287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ln>
                <a:noFill/>
              </a:ln>
              <a:solidFill>
                <a:schemeClr val="bg1"/>
              </a:solidFill>
              <a:effectLst>
                <a:reflection blurRad="6350" stA="21000" endPos="20000" dir="5400000" sy="-100000" algn="bl" rotWithShape="0"/>
              </a:effectLst>
              <a:latin typeface="Sitka Small Semibold" pitchFamily="2" charset="0"/>
              <a:ea typeface="+mn-ea"/>
              <a:cs typeface="+mn-cs"/>
            </a:rPr>
            <a:t>Total Properties</a:t>
          </a:r>
          <a:r>
            <a:rPr lang="en-US" sz="2400">
              <a:ln>
                <a:noFill/>
              </a:ln>
              <a:solidFill>
                <a:schemeClr val="bg1"/>
              </a:solidFill>
              <a:effectLst>
                <a:reflection blurRad="6350" stA="21000" endPos="20000" dir="5400000" sy="-100000" algn="bl" rotWithShape="0"/>
              </a:effectLst>
              <a:latin typeface="Sitka Small Semibold" pitchFamily="2" charset="0"/>
            </a:rPr>
            <a:t> </a:t>
          </a:r>
        </a:p>
      </xdr:txBody>
    </xdr:sp>
    <xdr:clientData/>
  </xdr:twoCellAnchor>
  <xdr:twoCellAnchor>
    <xdr:from>
      <xdr:col>0</xdr:col>
      <xdr:colOff>104775</xdr:colOff>
      <xdr:row>6</xdr:row>
      <xdr:rowOff>28575</xdr:rowOff>
    </xdr:from>
    <xdr:to>
      <xdr:col>2</xdr:col>
      <xdr:colOff>361950</xdr:colOff>
      <xdr:row>9</xdr:row>
      <xdr:rowOff>28575</xdr:rowOff>
    </xdr:to>
    <xdr:sp macro="" textlink="ANAYLIS!K21">
      <xdr:nvSpPr>
        <xdr:cNvPr id="12" name="TextBox 11">
          <a:extLst>
            <a:ext uri="{FF2B5EF4-FFF2-40B4-BE49-F238E27FC236}">
              <a16:creationId xmlns:a16="http://schemas.microsoft.com/office/drawing/2014/main" id="{22A9122B-2AE8-428E-BBE8-22463F120709}"/>
            </a:ext>
          </a:extLst>
        </xdr:cNvPr>
        <xdr:cNvSpPr txBox="1"/>
      </xdr:nvSpPr>
      <xdr:spPr>
        <a:xfrm>
          <a:off x="104775" y="1019175"/>
          <a:ext cx="16287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reflection blurRad="6350" stA="19000" endPos="38000" dir="5400000" sy="-100000" algn="bl" rotWithShape="0"/>
              </a:effectLst>
              <a:latin typeface="Sitka Small Semibold" pitchFamily="2" charset="0"/>
              <a:ea typeface="+mn-ea"/>
              <a:cs typeface="+mn-cs"/>
            </a:rPr>
            <a:t>Average Property Price</a:t>
          </a:r>
          <a:r>
            <a:rPr lang="en-US" sz="1200" b="0" i="0" u="none" strike="noStrike">
              <a:solidFill>
                <a:schemeClr val="bg1"/>
              </a:solidFill>
              <a:effectLst>
                <a:reflection blurRad="6350" stA="19000" endPos="38000" dir="5400000" sy="-100000" algn="bl" rotWithShape="0"/>
              </a:effectLst>
              <a:latin typeface="Sitka Small Semibold" pitchFamily="2" charset="0"/>
              <a:ea typeface="+mn-ea"/>
              <a:cs typeface="+mn-cs"/>
            </a:rPr>
            <a:t> </a:t>
          </a:r>
          <a:r>
            <a:rPr lang="en-US" sz="2800">
              <a:solidFill>
                <a:schemeClr val="bg1"/>
              </a:solidFill>
              <a:effectLst>
                <a:reflection blurRad="6350" stA="19000" endPos="38000" dir="5400000" sy="-100000" algn="bl" rotWithShape="0"/>
              </a:effectLst>
              <a:latin typeface="Sitka Small Semibold" pitchFamily="2" charset="0"/>
            </a:rPr>
            <a:t>  </a:t>
          </a:r>
        </a:p>
      </xdr:txBody>
    </xdr:sp>
    <xdr:clientData/>
  </xdr:twoCellAnchor>
  <xdr:twoCellAnchor>
    <xdr:from>
      <xdr:col>0</xdr:col>
      <xdr:colOff>323850</xdr:colOff>
      <xdr:row>10</xdr:row>
      <xdr:rowOff>85725</xdr:rowOff>
    </xdr:from>
    <xdr:to>
      <xdr:col>3</xdr:col>
      <xdr:colOff>152400</xdr:colOff>
      <xdr:row>13</xdr:row>
      <xdr:rowOff>85725</xdr:rowOff>
    </xdr:to>
    <xdr:sp macro="" textlink="ANAYLIS!K21">
      <xdr:nvSpPr>
        <xdr:cNvPr id="13" name="TextBox 12">
          <a:extLst>
            <a:ext uri="{FF2B5EF4-FFF2-40B4-BE49-F238E27FC236}">
              <a16:creationId xmlns:a16="http://schemas.microsoft.com/office/drawing/2014/main" id="{8652F4DB-9934-4155-A255-EB81763412E9}"/>
            </a:ext>
          </a:extLst>
        </xdr:cNvPr>
        <xdr:cNvSpPr txBox="1"/>
      </xdr:nvSpPr>
      <xdr:spPr>
        <a:xfrm>
          <a:off x="323850" y="1800225"/>
          <a:ext cx="18859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reflection blurRad="6350" stA="20000" endPos="20000" dir="5400000" sy="-100000" algn="bl" rotWithShape="0"/>
              </a:effectLst>
              <a:latin typeface="Sitka Small Semibold" pitchFamily="2" charset="0"/>
              <a:ea typeface="+mn-ea"/>
              <a:cs typeface="+mn-cs"/>
            </a:rPr>
            <a:t>Average Area</a:t>
          </a:r>
          <a:r>
            <a:rPr lang="en-US" sz="1200" b="0" i="0" u="none" strike="noStrike">
              <a:solidFill>
                <a:schemeClr val="bg1"/>
              </a:solidFill>
              <a:effectLst>
                <a:reflection blurRad="6350" stA="20000" endPos="20000" dir="5400000" sy="-100000" algn="bl" rotWithShape="0"/>
              </a:effectLst>
              <a:latin typeface="Sitka Small Semibold" pitchFamily="2" charset="0"/>
              <a:ea typeface="+mn-ea"/>
              <a:cs typeface="+mn-cs"/>
            </a:rPr>
            <a:t> </a:t>
          </a:r>
          <a:r>
            <a:rPr lang="en-US" sz="2800">
              <a:solidFill>
                <a:schemeClr val="bg1"/>
              </a:solidFill>
              <a:effectLst>
                <a:reflection blurRad="6350" stA="20000" endPos="20000" dir="5400000" sy="-100000" algn="bl" rotWithShape="0"/>
              </a:effectLst>
              <a:latin typeface="Sitka Small Semibold" pitchFamily="2" charset="0"/>
            </a:rPr>
            <a:t>  </a:t>
          </a:r>
        </a:p>
      </xdr:txBody>
    </xdr:sp>
    <xdr:clientData/>
  </xdr:twoCellAnchor>
  <xdr:twoCellAnchor>
    <xdr:from>
      <xdr:col>0</xdr:col>
      <xdr:colOff>0</xdr:colOff>
      <xdr:row>16</xdr:row>
      <xdr:rowOff>85725</xdr:rowOff>
    </xdr:from>
    <xdr:to>
      <xdr:col>2</xdr:col>
      <xdr:colOff>619125</xdr:colOff>
      <xdr:row>21</xdr:row>
      <xdr:rowOff>57150</xdr:rowOff>
    </xdr:to>
    <xdr:sp macro="" textlink="ANAYLIS!K21">
      <xdr:nvSpPr>
        <xdr:cNvPr id="14" name="TextBox 13">
          <a:extLst>
            <a:ext uri="{FF2B5EF4-FFF2-40B4-BE49-F238E27FC236}">
              <a16:creationId xmlns:a16="http://schemas.microsoft.com/office/drawing/2014/main" id="{C6D0FEA8-BBD6-4B82-B017-670014E364A4}"/>
            </a:ext>
          </a:extLst>
        </xdr:cNvPr>
        <xdr:cNvSpPr txBox="1"/>
      </xdr:nvSpPr>
      <xdr:spPr>
        <a:xfrm>
          <a:off x="0" y="2886075"/>
          <a:ext cx="1990725"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reflection blurRad="6350" stA="19000" endPos="20000" dir="5400000" sy="-100000" algn="bl" rotWithShape="0"/>
              </a:effectLst>
              <a:latin typeface="Sitka Small Semibold" pitchFamily="2" charset="0"/>
              <a:ea typeface="+mn-ea"/>
              <a:cs typeface="+mn-cs"/>
            </a:rPr>
            <a:t>Average Price per Sq. Ft.</a:t>
          </a:r>
          <a:r>
            <a:rPr lang="en-US" sz="2800">
              <a:solidFill>
                <a:schemeClr val="bg1"/>
              </a:solidFill>
              <a:effectLst>
                <a:reflection blurRad="6350" stA="19000" endPos="20000" dir="5400000" sy="-100000" algn="bl" rotWithShape="0"/>
              </a:effectLst>
              <a:latin typeface="Sitka Small Semibold" pitchFamily="2" charset="0"/>
            </a:rPr>
            <a:t>  </a:t>
          </a:r>
        </a:p>
      </xdr:txBody>
    </xdr:sp>
    <xdr:clientData/>
  </xdr:twoCellAnchor>
  <xdr:twoCellAnchor>
    <xdr:from>
      <xdr:col>0</xdr:col>
      <xdr:colOff>523875</xdr:colOff>
      <xdr:row>26</xdr:row>
      <xdr:rowOff>19050</xdr:rowOff>
    </xdr:from>
    <xdr:to>
      <xdr:col>2</xdr:col>
      <xdr:colOff>228600</xdr:colOff>
      <xdr:row>29</xdr:row>
      <xdr:rowOff>142875</xdr:rowOff>
    </xdr:to>
    <xdr:sp macro="" textlink="ANAYLIS!O21">
      <xdr:nvSpPr>
        <xdr:cNvPr id="16" name="TextBox 15">
          <a:extLst>
            <a:ext uri="{FF2B5EF4-FFF2-40B4-BE49-F238E27FC236}">
              <a16:creationId xmlns:a16="http://schemas.microsoft.com/office/drawing/2014/main" id="{BA2811A9-6B6D-4298-8D61-07E40E6593DA}"/>
            </a:ext>
          </a:extLst>
        </xdr:cNvPr>
        <xdr:cNvSpPr txBox="1"/>
      </xdr:nvSpPr>
      <xdr:spPr>
        <a:xfrm>
          <a:off x="523875" y="4629150"/>
          <a:ext cx="10763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D0A9010-39E5-4FB2-8732-21871287B2F7}" type="TxLink">
            <a:rPr lang="en-US" sz="2000" b="0" i="0" u="none" strike="noStrike">
              <a:solidFill>
                <a:schemeClr val="bg1"/>
              </a:solidFill>
              <a:effectLst>
                <a:outerShdw blurRad="50800" dist="38100" sx="102000" sy="102000" algn="l" rotWithShape="0">
                  <a:prstClr val="black"/>
                </a:outerShdw>
              </a:effectLst>
              <a:latin typeface="Carlito"/>
            </a:rPr>
            <a:pPr algn="l"/>
            <a:t>33%</a:t>
          </a:fld>
          <a:endParaRPr lang="en-US" sz="6600" b="0">
            <a:solidFill>
              <a:schemeClr val="bg1"/>
            </a:solidFill>
            <a:effectLst>
              <a:outerShdw blurRad="50800" dist="38100" sx="102000" sy="102000" algn="l" rotWithShape="0">
                <a:prstClr val="black"/>
              </a:outerShdw>
            </a:effectLst>
          </a:endParaRPr>
        </a:p>
      </xdr:txBody>
    </xdr:sp>
    <xdr:clientData/>
  </xdr:twoCellAnchor>
  <xdr:twoCellAnchor>
    <xdr:from>
      <xdr:col>0</xdr:col>
      <xdr:colOff>190500</xdr:colOff>
      <xdr:row>23</xdr:row>
      <xdr:rowOff>152400</xdr:rowOff>
    </xdr:from>
    <xdr:to>
      <xdr:col>3</xdr:col>
      <xdr:colOff>19050</xdr:colOff>
      <xdr:row>26</xdr:row>
      <xdr:rowOff>152400</xdr:rowOff>
    </xdr:to>
    <xdr:sp macro="" textlink="ANAYLIS!K21">
      <xdr:nvSpPr>
        <xdr:cNvPr id="17" name="TextBox 16">
          <a:extLst>
            <a:ext uri="{FF2B5EF4-FFF2-40B4-BE49-F238E27FC236}">
              <a16:creationId xmlns:a16="http://schemas.microsoft.com/office/drawing/2014/main" id="{EF913C3A-2495-465D-8CF4-F094BDF2DBF8}"/>
            </a:ext>
          </a:extLst>
        </xdr:cNvPr>
        <xdr:cNvSpPr txBox="1"/>
      </xdr:nvSpPr>
      <xdr:spPr>
        <a:xfrm>
          <a:off x="190500" y="4219575"/>
          <a:ext cx="18859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reflection blurRad="6350" stA="20000" endPos="20000" dir="5400000" sy="-100000" algn="bl" rotWithShape="0"/>
              </a:effectLst>
              <a:latin typeface="Sitka Small Semibold" pitchFamily="2" charset="0"/>
              <a:ea typeface="+mn-ea"/>
              <a:cs typeface="+mn-cs"/>
            </a:rPr>
            <a:t>Sold</a:t>
          </a:r>
          <a:r>
            <a:rPr lang="en-US" sz="1200" b="1" i="0" u="none" strike="noStrike" baseline="0">
              <a:solidFill>
                <a:schemeClr val="bg1"/>
              </a:solidFill>
              <a:effectLst>
                <a:reflection blurRad="6350" stA="20000" endPos="20000" dir="5400000" sy="-100000" algn="bl" rotWithShape="0"/>
              </a:effectLst>
              <a:latin typeface="Sitka Small Semibold" pitchFamily="2" charset="0"/>
              <a:ea typeface="+mn-ea"/>
              <a:cs typeface="+mn-cs"/>
            </a:rPr>
            <a:t> Properties</a:t>
          </a:r>
          <a:r>
            <a:rPr lang="en-US" sz="1200" b="0" i="0" u="none" strike="noStrike">
              <a:solidFill>
                <a:schemeClr val="bg1"/>
              </a:solidFill>
              <a:effectLst>
                <a:reflection blurRad="6350" stA="20000" endPos="20000" dir="5400000" sy="-100000" algn="bl" rotWithShape="0"/>
              </a:effectLst>
              <a:latin typeface="Sitka Small Semibold" pitchFamily="2" charset="0"/>
              <a:ea typeface="+mn-ea"/>
              <a:cs typeface="+mn-cs"/>
            </a:rPr>
            <a:t> </a:t>
          </a:r>
          <a:r>
            <a:rPr lang="en-US" sz="2800">
              <a:solidFill>
                <a:schemeClr val="bg1"/>
              </a:solidFill>
              <a:effectLst>
                <a:reflection blurRad="6350" stA="20000" endPos="20000" dir="5400000" sy="-100000" algn="bl" rotWithShape="0"/>
              </a:effectLst>
              <a:latin typeface="Sitka Small Semibold" pitchFamily="2" charset="0"/>
            </a:rPr>
            <a:t>  </a:t>
          </a:r>
        </a:p>
      </xdr:txBody>
    </xdr:sp>
    <xdr:clientData/>
  </xdr:twoCellAnchor>
  <xdr:twoCellAnchor>
    <xdr:from>
      <xdr:col>10</xdr:col>
      <xdr:colOff>457200</xdr:colOff>
      <xdr:row>30</xdr:row>
      <xdr:rowOff>104775</xdr:rowOff>
    </xdr:from>
    <xdr:to>
      <xdr:col>17</xdr:col>
      <xdr:colOff>19050</xdr:colOff>
      <xdr:row>45</xdr:row>
      <xdr:rowOff>76200</xdr:rowOff>
    </xdr:to>
    <xdr:graphicFrame macro="">
      <xdr:nvGraphicFramePr>
        <xdr:cNvPr id="18" name="Chart 17">
          <a:extLst>
            <a:ext uri="{FF2B5EF4-FFF2-40B4-BE49-F238E27FC236}">
              <a16:creationId xmlns:a16="http://schemas.microsoft.com/office/drawing/2014/main" id="{F4265938-DCE3-4038-930A-C4913FB9A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657226</xdr:colOff>
      <xdr:row>5</xdr:row>
      <xdr:rowOff>133350</xdr:rowOff>
    </xdr:from>
    <xdr:to>
      <xdr:col>7</xdr:col>
      <xdr:colOff>419100</xdr:colOff>
      <xdr:row>18</xdr:row>
      <xdr:rowOff>0</xdr:rowOff>
    </xdr:to>
    <xdr:graphicFrame macro="">
      <xdr:nvGraphicFramePr>
        <xdr:cNvPr id="19" name="Chart 18">
          <a:extLst>
            <a:ext uri="{FF2B5EF4-FFF2-40B4-BE49-F238E27FC236}">
              <a16:creationId xmlns:a16="http://schemas.microsoft.com/office/drawing/2014/main" id="{1F4B0F10-CC7B-4E4A-B9F4-6EFC3EC19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190499</xdr:colOff>
      <xdr:row>5</xdr:row>
      <xdr:rowOff>76200</xdr:rowOff>
    </xdr:from>
    <xdr:to>
      <xdr:col>25</xdr:col>
      <xdr:colOff>657224</xdr:colOff>
      <xdr:row>23</xdr:row>
      <xdr:rowOff>19050</xdr:rowOff>
    </xdr:to>
    <xdr:graphicFrame macro="">
      <xdr:nvGraphicFramePr>
        <xdr:cNvPr id="20" name="Chart 19">
          <a:extLst>
            <a:ext uri="{FF2B5EF4-FFF2-40B4-BE49-F238E27FC236}">
              <a16:creationId xmlns:a16="http://schemas.microsoft.com/office/drawing/2014/main" id="{ED362ADA-EAA1-4A35-9A2D-81D773562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95250</xdr:colOff>
      <xdr:row>24</xdr:row>
      <xdr:rowOff>76200</xdr:rowOff>
    </xdr:from>
    <xdr:to>
      <xdr:col>25</xdr:col>
      <xdr:colOff>95250</xdr:colOff>
      <xdr:row>45</xdr:row>
      <xdr:rowOff>57150</xdr:rowOff>
    </xdr:to>
    <xdr:graphicFrame macro="">
      <xdr:nvGraphicFramePr>
        <xdr:cNvPr id="21" name="Chart 20">
          <a:extLst>
            <a:ext uri="{FF2B5EF4-FFF2-40B4-BE49-F238E27FC236}">
              <a16:creationId xmlns:a16="http://schemas.microsoft.com/office/drawing/2014/main" id="{E60EE635-C26E-4189-8513-275B86334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19050</xdr:colOff>
      <xdr:row>6</xdr:row>
      <xdr:rowOff>47625</xdr:rowOff>
    </xdr:from>
    <xdr:to>
      <xdr:col>2</xdr:col>
      <xdr:colOff>476250</xdr:colOff>
      <xdr:row>6</xdr:row>
      <xdr:rowOff>57151</xdr:rowOff>
    </xdr:to>
    <xdr:cxnSp macro="">
      <xdr:nvCxnSpPr>
        <xdr:cNvPr id="23" name="Straight Connector 22">
          <a:extLst>
            <a:ext uri="{FF2B5EF4-FFF2-40B4-BE49-F238E27FC236}">
              <a16:creationId xmlns:a16="http://schemas.microsoft.com/office/drawing/2014/main" id="{91582168-966C-4399-B546-5956960815CA}"/>
            </a:ext>
          </a:extLst>
        </xdr:cNvPr>
        <xdr:cNvCxnSpPr/>
      </xdr:nvCxnSpPr>
      <xdr:spPr>
        <a:xfrm flipV="1">
          <a:off x="19050" y="1038225"/>
          <a:ext cx="1828800"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38100</xdr:colOff>
      <xdr:row>16</xdr:row>
      <xdr:rowOff>76200</xdr:rowOff>
    </xdr:from>
    <xdr:to>
      <xdr:col>2</xdr:col>
      <xdr:colOff>495300</xdr:colOff>
      <xdr:row>16</xdr:row>
      <xdr:rowOff>85726</xdr:rowOff>
    </xdr:to>
    <xdr:cxnSp macro="">
      <xdr:nvCxnSpPr>
        <xdr:cNvPr id="26" name="Straight Connector 25">
          <a:extLst>
            <a:ext uri="{FF2B5EF4-FFF2-40B4-BE49-F238E27FC236}">
              <a16:creationId xmlns:a16="http://schemas.microsoft.com/office/drawing/2014/main" id="{F89BD35C-170D-4E52-A68B-718D08F8D1D9}"/>
            </a:ext>
          </a:extLst>
        </xdr:cNvPr>
        <xdr:cNvCxnSpPr/>
      </xdr:nvCxnSpPr>
      <xdr:spPr>
        <a:xfrm flipV="1">
          <a:off x="38100" y="2876550"/>
          <a:ext cx="1828800"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47625</xdr:colOff>
      <xdr:row>11</xdr:row>
      <xdr:rowOff>57150</xdr:rowOff>
    </xdr:from>
    <xdr:to>
      <xdr:col>2</xdr:col>
      <xdr:colOff>504825</xdr:colOff>
      <xdr:row>11</xdr:row>
      <xdr:rowOff>66676</xdr:rowOff>
    </xdr:to>
    <xdr:cxnSp macro="">
      <xdr:nvCxnSpPr>
        <xdr:cNvPr id="27" name="Straight Connector 26">
          <a:extLst>
            <a:ext uri="{FF2B5EF4-FFF2-40B4-BE49-F238E27FC236}">
              <a16:creationId xmlns:a16="http://schemas.microsoft.com/office/drawing/2014/main" id="{9396568F-D64A-4675-846E-0919C4FCA953}"/>
            </a:ext>
          </a:extLst>
        </xdr:cNvPr>
        <xdr:cNvCxnSpPr/>
      </xdr:nvCxnSpPr>
      <xdr:spPr>
        <a:xfrm flipV="1">
          <a:off x="47625" y="1952625"/>
          <a:ext cx="1828800"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29</xdr:row>
      <xdr:rowOff>171450</xdr:rowOff>
    </xdr:from>
    <xdr:to>
      <xdr:col>2</xdr:col>
      <xdr:colOff>457200</xdr:colOff>
      <xdr:row>30</xdr:row>
      <xdr:rowOff>1</xdr:rowOff>
    </xdr:to>
    <xdr:cxnSp macro="">
      <xdr:nvCxnSpPr>
        <xdr:cNvPr id="28" name="Straight Connector 27">
          <a:extLst>
            <a:ext uri="{FF2B5EF4-FFF2-40B4-BE49-F238E27FC236}">
              <a16:creationId xmlns:a16="http://schemas.microsoft.com/office/drawing/2014/main" id="{81F16766-96DE-4D7F-9F44-2C0042754FF9}"/>
            </a:ext>
          </a:extLst>
        </xdr:cNvPr>
        <xdr:cNvCxnSpPr/>
      </xdr:nvCxnSpPr>
      <xdr:spPr>
        <a:xfrm flipV="1">
          <a:off x="0" y="5324475"/>
          <a:ext cx="1828800"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38100</xdr:colOff>
      <xdr:row>24</xdr:row>
      <xdr:rowOff>0</xdr:rowOff>
    </xdr:from>
    <xdr:to>
      <xdr:col>2</xdr:col>
      <xdr:colOff>495300</xdr:colOff>
      <xdr:row>24</xdr:row>
      <xdr:rowOff>9526</xdr:rowOff>
    </xdr:to>
    <xdr:cxnSp macro="">
      <xdr:nvCxnSpPr>
        <xdr:cNvPr id="29" name="Straight Connector 28">
          <a:extLst>
            <a:ext uri="{FF2B5EF4-FFF2-40B4-BE49-F238E27FC236}">
              <a16:creationId xmlns:a16="http://schemas.microsoft.com/office/drawing/2014/main" id="{1B9221D2-D601-4159-A204-1F7E506185DD}"/>
            </a:ext>
          </a:extLst>
        </xdr:cNvPr>
        <xdr:cNvCxnSpPr/>
      </xdr:nvCxnSpPr>
      <xdr:spPr>
        <a:xfrm flipV="1">
          <a:off x="38100" y="4248150"/>
          <a:ext cx="1828800"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533400</xdr:colOff>
      <xdr:row>19</xdr:row>
      <xdr:rowOff>133350</xdr:rowOff>
    </xdr:from>
    <xdr:to>
      <xdr:col>10</xdr:col>
      <xdr:colOff>190500</xdr:colOff>
      <xdr:row>30</xdr:row>
      <xdr:rowOff>104775</xdr:rowOff>
    </xdr:to>
    <xdr:graphicFrame macro="">
      <xdr:nvGraphicFramePr>
        <xdr:cNvPr id="30" name="Chart 29">
          <a:extLst>
            <a:ext uri="{FF2B5EF4-FFF2-40B4-BE49-F238E27FC236}">
              <a16:creationId xmlns:a16="http://schemas.microsoft.com/office/drawing/2014/main" id="{BAC16598-C536-4108-AD77-E5AEA0C57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0</xdr:colOff>
      <xdr:row>30</xdr:row>
      <xdr:rowOff>161925</xdr:rowOff>
    </xdr:from>
    <xdr:to>
      <xdr:col>9</xdr:col>
      <xdr:colOff>466725</xdr:colOff>
      <xdr:row>45</xdr:row>
      <xdr:rowOff>161924</xdr:rowOff>
    </xdr:to>
    <xdr:graphicFrame macro="">
      <xdr:nvGraphicFramePr>
        <xdr:cNvPr id="31" name="Chart 30">
          <a:extLst>
            <a:ext uri="{FF2B5EF4-FFF2-40B4-BE49-F238E27FC236}">
              <a16:creationId xmlns:a16="http://schemas.microsoft.com/office/drawing/2014/main" id="{3B7A4DB9-D122-4B07-90F4-688969127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57150</xdr:colOff>
      <xdr:row>18</xdr:row>
      <xdr:rowOff>9526</xdr:rowOff>
    </xdr:from>
    <xdr:to>
      <xdr:col>18</xdr:col>
      <xdr:colOff>266700</xdr:colOff>
      <xdr:row>30</xdr:row>
      <xdr:rowOff>171450</xdr:rowOff>
    </xdr:to>
    <xdr:graphicFrame macro="">
      <xdr:nvGraphicFramePr>
        <xdr:cNvPr id="32" name="Chart 31">
          <a:extLst>
            <a:ext uri="{FF2B5EF4-FFF2-40B4-BE49-F238E27FC236}">
              <a16:creationId xmlns:a16="http://schemas.microsoft.com/office/drawing/2014/main" id="{E952B1FF-266E-4F45-8850-0E2520927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180976</xdr:colOff>
      <xdr:row>6</xdr:row>
      <xdr:rowOff>66675</xdr:rowOff>
    </xdr:from>
    <xdr:to>
      <xdr:col>16</xdr:col>
      <xdr:colOff>561976</xdr:colOff>
      <xdr:row>18</xdr:row>
      <xdr:rowOff>142875</xdr:rowOff>
    </xdr:to>
    <xdr:graphicFrame macro="">
      <xdr:nvGraphicFramePr>
        <xdr:cNvPr id="36" name="Chart 35">
          <a:extLst>
            <a:ext uri="{FF2B5EF4-FFF2-40B4-BE49-F238E27FC236}">
              <a16:creationId xmlns:a16="http://schemas.microsoft.com/office/drawing/2014/main" id="{8CA08355-8FF3-445E-97C4-03824D0BD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523875</xdr:colOff>
      <xdr:row>0</xdr:row>
      <xdr:rowOff>0</xdr:rowOff>
    </xdr:from>
    <xdr:to>
      <xdr:col>26</xdr:col>
      <xdr:colOff>190499</xdr:colOff>
      <xdr:row>5</xdr:row>
      <xdr:rowOff>66675</xdr:rowOff>
    </xdr:to>
    <xdr:sp macro="" textlink="">
      <xdr:nvSpPr>
        <xdr:cNvPr id="37" name="TextBox 36">
          <a:extLst>
            <a:ext uri="{FF2B5EF4-FFF2-40B4-BE49-F238E27FC236}">
              <a16:creationId xmlns:a16="http://schemas.microsoft.com/office/drawing/2014/main" id="{5A1C5CF4-AF64-474E-ADBC-37EAAB995FAD}"/>
            </a:ext>
          </a:extLst>
        </xdr:cNvPr>
        <xdr:cNvSpPr txBox="1"/>
      </xdr:nvSpPr>
      <xdr:spPr>
        <a:xfrm>
          <a:off x="1895475" y="0"/>
          <a:ext cx="16125824" cy="8763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 </a:t>
          </a:r>
          <a:r>
            <a:rPr lang="en-US" sz="2400" b="0" cap="none" spc="0">
              <a:ln w="0"/>
              <a:solidFill>
                <a:schemeClr val="bg1"/>
              </a:solidFill>
              <a:effectLst>
                <a:outerShdw blurRad="38100" dist="19050" dir="2700000" algn="tl" rotWithShape="0">
                  <a:schemeClr val="dk1">
                    <a:alpha val="40000"/>
                  </a:schemeClr>
                </a:outerShdw>
              </a:effectLst>
            </a:rPr>
            <a:t>REAL ESTATE PROPERTY ANALYSIS DASHBOARD</a:t>
          </a:r>
          <a:br>
            <a:rPr lang="en-US" sz="2000" b="0" cap="none" spc="0">
              <a:ln w="0"/>
              <a:solidFill>
                <a:schemeClr val="bg1"/>
              </a:solidFill>
              <a:effectLst>
                <a:outerShdw blurRad="38100" dist="19050" dir="2700000" algn="tl" rotWithShape="0">
                  <a:schemeClr val="dk1">
                    <a:alpha val="40000"/>
                  </a:schemeClr>
                </a:outerShdw>
              </a:effectLst>
            </a:rPr>
          </a:br>
          <a:r>
            <a:rPr lang="en-US" sz="2000" b="0" i="1" cap="none" spc="0">
              <a:ln w="0"/>
              <a:solidFill>
                <a:schemeClr val="bg1"/>
              </a:solidFill>
              <a:effectLst>
                <a:outerShdw blurRad="38100" dist="19050" dir="2700000" algn="tl" rotWithShape="0">
                  <a:schemeClr val="dk1">
                    <a:alpha val="40000"/>
                  </a:schemeClr>
                </a:outerShdw>
              </a:effectLst>
            </a:rPr>
            <a:t>📊 Property Listings • 💰 Pricing • 📍 Location • 📈 Market Insights</a:t>
          </a:r>
          <a:endParaRPr lang="en-US" sz="2000" i="1">
            <a:solidFill>
              <a:schemeClr val="bg1"/>
            </a:solidFill>
          </a:endParaRPr>
        </a:p>
      </xdr:txBody>
    </xdr:sp>
    <xdr:clientData/>
  </xdr:twoCellAnchor>
  <xdr:twoCellAnchor>
    <xdr:from>
      <xdr:col>2</xdr:col>
      <xdr:colOff>57150</xdr:colOff>
      <xdr:row>1</xdr:row>
      <xdr:rowOff>142875</xdr:rowOff>
    </xdr:from>
    <xdr:to>
      <xdr:col>2</xdr:col>
      <xdr:colOff>485775</xdr:colOff>
      <xdr:row>4</xdr:row>
      <xdr:rowOff>85725</xdr:rowOff>
    </xdr:to>
    <xdr:sp macro="" textlink="ANAYLIS!K27">
      <xdr:nvSpPr>
        <xdr:cNvPr id="6" name="Rectangle 5">
          <a:extLst>
            <a:ext uri="{FF2B5EF4-FFF2-40B4-BE49-F238E27FC236}">
              <a16:creationId xmlns:a16="http://schemas.microsoft.com/office/drawing/2014/main" id="{33D3175E-E5FD-49DA-A586-E45D32B13C0F}"/>
            </a:ext>
          </a:extLst>
        </xdr:cNvPr>
        <xdr:cNvSpPr/>
      </xdr:nvSpPr>
      <xdr:spPr>
        <a:xfrm>
          <a:off x="1428750" y="323850"/>
          <a:ext cx="42862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FD819134-5C6E-4345-8432-639F9BDC7476}" type="TxLink">
            <a:rPr lang="en-US" sz="1100" b="0" i="0" u="none" strike="noStrike">
              <a:ln>
                <a:noFill/>
              </a:ln>
              <a:solidFill>
                <a:srgbClr val="000000"/>
              </a:solidFill>
              <a:effectLst>
                <a:outerShdw blurRad="50800" dist="38100" dir="2700000" algn="tl" rotWithShape="0">
                  <a:prstClr val="black">
                    <a:alpha val="40000"/>
                  </a:prstClr>
                </a:outerShdw>
              </a:effectLst>
              <a:latin typeface="Carlito"/>
              <a:cs typeface="Segoe UI" panose="020B0502040204020203" pitchFamily="34" charset="0"/>
            </a:rPr>
            <a:pPr algn="l"/>
            <a:t> </a:t>
          </a:fld>
          <a:endParaRPr lang="en-US" sz="1100" b="1">
            <a:ln>
              <a:noFill/>
            </a:ln>
            <a:blipFill dpi="0" rotWithShape="1">
              <a:blip xmlns:r="http://schemas.openxmlformats.org/officeDocument/2006/relationships" r:embed="rId1"/>
              <a:srcRect/>
              <a:tile tx="95250" ty="0" sx="100000" sy="100000" flip="none" algn="tl"/>
            </a:blipFill>
            <a:effectLst>
              <a:outerShdw blurRad="50800" dist="38100" dir="2700000" algn="tl"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xdr:from>
      <xdr:col>1</xdr:col>
      <xdr:colOff>466726</xdr:colOff>
      <xdr:row>7</xdr:row>
      <xdr:rowOff>19050</xdr:rowOff>
    </xdr:from>
    <xdr:to>
      <xdr:col>2</xdr:col>
      <xdr:colOff>657226</xdr:colOff>
      <xdr:row>9</xdr:row>
      <xdr:rowOff>47625</xdr:rowOff>
    </xdr:to>
    <xdr:sp macro="" textlink="ANAYLIS!L27">
      <xdr:nvSpPr>
        <xdr:cNvPr id="34" name="Rectangle 33">
          <a:extLst>
            <a:ext uri="{FF2B5EF4-FFF2-40B4-BE49-F238E27FC236}">
              <a16:creationId xmlns:a16="http://schemas.microsoft.com/office/drawing/2014/main" id="{5AF68C90-3130-444C-A289-A59ED95F02E8}"/>
            </a:ext>
          </a:extLst>
        </xdr:cNvPr>
        <xdr:cNvSpPr/>
      </xdr:nvSpPr>
      <xdr:spPr>
        <a:xfrm>
          <a:off x="1152526" y="1190625"/>
          <a:ext cx="87630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051B7EDC-7CCD-44FA-98ED-E013824175D2}" type="TxLink">
            <a:rPr lang="en-US" sz="1100" b="0" i="0" u="none" strike="noStrike">
              <a:ln>
                <a:noFill/>
              </a:ln>
              <a:solidFill>
                <a:srgbClr val="000000"/>
              </a:solidFill>
              <a:effectLst>
                <a:outerShdw blurRad="50800" dist="38100" dir="2700000" algn="tl" rotWithShape="0">
                  <a:prstClr val="black">
                    <a:alpha val="40000"/>
                  </a:prstClr>
                </a:outerShdw>
              </a:effectLst>
              <a:latin typeface="Carlito"/>
              <a:cs typeface="Segoe UI" panose="020B0502040204020203" pitchFamily="34" charset="0"/>
            </a:rPr>
            <a:pPr algn="l"/>
            <a:t> </a:t>
          </a:fld>
          <a:endParaRPr lang="en-US" sz="1100" b="1">
            <a:ln>
              <a:noFill/>
            </a:ln>
            <a:blipFill dpi="0" rotWithShape="1">
              <a:blip xmlns:r="http://schemas.openxmlformats.org/officeDocument/2006/relationships" r:embed="rId1"/>
              <a:srcRect/>
              <a:tile tx="95250" ty="0" sx="100000" sy="100000" flip="none" algn="tl"/>
            </a:blipFill>
            <a:effectLst>
              <a:outerShdw blurRad="50800" dist="38100" dir="2700000" algn="tl"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xdr:from>
      <xdr:col>1</xdr:col>
      <xdr:colOff>438150</xdr:colOff>
      <xdr:row>11</xdr:row>
      <xdr:rowOff>95250</xdr:rowOff>
    </xdr:from>
    <xdr:to>
      <xdr:col>2</xdr:col>
      <xdr:colOff>619125</xdr:colOff>
      <xdr:row>13</xdr:row>
      <xdr:rowOff>123825</xdr:rowOff>
    </xdr:to>
    <xdr:sp macro="" textlink="ANAYLIS!M27">
      <xdr:nvSpPr>
        <xdr:cNvPr id="35" name="Rectangle 34">
          <a:extLst>
            <a:ext uri="{FF2B5EF4-FFF2-40B4-BE49-F238E27FC236}">
              <a16:creationId xmlns:a16="http://schemas.microsoft.com/office/drawing/2014/main" id="{44F9BE54-6170-4437-9B00-7FE0A471A39E}"/>
            </a:ext>
          </a:extLst>
        </xdr:cNvPr>
        <xdr:cNvSpPr/>
      </xdr:nvSpPr>
      <xdr:spPr>
        <a:xfrm>
          <a:off x="1123950" y="1990725"/>
          <a:ext cx="86677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A6962648-2113-4CF3-9CFA-1004B29186F8}" type="TxLink">
            <a:rPr lang="en-US" sz="1100" b="0" i="0" u="none" strike="noStrike">
              <a:ln>
                <a:noFill/>
              </a:ln>
              <a:solidFill>
                <a:srgbClr val="000000"/>
              </a:solidFill>
              <a:effectLst>
                <a:outerShdw blurRad="50800" dist="38100" dir="2700000" algn="tl" rotWithShape="0">
                  <a:prstClr val="black">
                    <a:alpha val="40000"/>
                  </a:prstClr>
                </a:outerShdw>
              </a:effectLst>
              <a:latin typeface="Carlito"/>
              <a:cs typeface="Segoe UI" panose="020B0502040204020203" pitchFamily="34" charset="0"/>
            </a:rPr>
            <a:pPr algn="l"/>
            <a:t> </a:t>
          </a:fld>
          <a:endParaRPr lang="en-US" sz="1100" b="1" i="0" u="none" strike="noStrike">
            <a:ln>
              <a:noFill/>
            </a:ln>
            <a:blipFill dpi="0" rotWithShape="1">
              <a:blip xmlns:r="http://schemas.openxmlformats.org/officeDocument/2006/relationships" r:embed="rId1"/>
              <a:srcRect/>
              <a:tile tx="95250" ty="0" sx="100000" sy="100000" flip="none" algn="tl"/>
            </a:blipFill>
            <a:effectLst>
              <a:outerShdw blurRad="50800" dist="38100" dir="2700000" algn="tl"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xdr:from>
      <xdr:col>1</xdr:col>
      <xdr:colOff>542925</xdr:colOff>
      <xdr:row>17</xdr:row>
      <xdr:rowOff>95250</xdr:rowOff>
    </xdr:from>
    <xdr:to>
      <xdr:col>3</xdr:col>
      <xdr:colOff>152400</xdr:colOff>
      <xdr:row>19</xdr:row>
      <xdr:rowOff>123825</xdr:rowOff>
    </xdr:to>
    <xdr:sp macro="" textlink="ANAYLIS!N27">
      <xdr:nvSpPr>
        <xdr:cNvPr id="38" name="Rectangle 37">
          <a:extLst>
            <a:ext uri="{FF2B5EF4-FFF2-40B4-BE49-F238E27FC236}">
              <a16:creationId xmlns:a16="http://schemas.microsoft.com/office/drawing/2014/main" id="{0A9C12CC-8E9C-4021-8A1D-5B6BF37BC12B}"/>
            </a:ext>
          </a:extLst>
        </xdr:cNvPr>
        <xdr:cNvSpPr/>
      </xdr:nvSpPr>
      <xdr:spPr>
        <a:xfrm>
          <a:off x="1228725" y="3076575"/>
          <a:ext cx="98107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AB00F3DD-634D-4332-81D9-F4DD41B48C3D}" type="TxLink">
            <a:rPr lang="en-US" sz="1100" b="0" i="0" u="none" strike="noStrike">
              <a:ln>
                <a:noFill/>
              </a:ln>
              <a:solidFill>
                <a:srgbClr val="000000"/>
              </a:solidFill>
              <a:effectLst>
                <a:outerShdw blurRad="50800" dist="38100" dir="2700000" algn="tl" rotWithShape="0">
                  <a:prstClr val="black">
                    <a:alpha val="40000"/>
                  </a:prstClr>
                </a:outerShdw>
              </a:effectLst>
              <a:latin typeface="Carlito"/>
              <a:cs typeface="Segoe UI" panose="020B0502040204020203" pitchFamily="34" charset="0"/>
            </a:rPr>
            <a:pPr algn="l"/>
            <a:t> </a:t>
          </a:fld>
          <a:endParaRPr lang="en-US" sz="1100" b="1">
            <a:ln>
              <a:noFill/>
            </a:ln>
            <a:blipFill dpi="0" rotWithShape="1">
              <a:blip xmlns:r="http://schemas.openxmlformats.org/officeDocument/2006/relationships" r:embed="rId1"/>
              <a:srcRect/>
              <a:tile tx="95250" ty="0" sx="100000" sy="100000" flip="none" algn="tl"/>
            </a:blipFill>
            <a:effectLst>
              <a:outerShdw blurRad="50800" dist="38100" dir="2700000" algn="tl"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editAs="oneCell">
    <xdr:from>
      <xdr:col>0</xdr:col>
      <xdr:colOff>0</xdr:colOff>
      <xdr:row>32</xdr:row>
      <xdr:rowOff>85726</xdr:rowOff>
    </xdr:from>
    <xdr:to>
      <xdr:col>2</xdr:col>
      <xdr:colOff>457200</xdr:colOff>
      <xdr:row>41</xdr:row>
      <xdr:rowOff>38101</xdr:rowOff>
    </xdr:to>
    <mc:AlternateContent xmlns:mc="http://schemas.openxmlformats.org/markup-compatibility/2006" xmlns:a14="http://schemas.microsoft.com/office/drawing/2010/main">
      <mc:Choice Requires="a14">
        <xdr:graphicFrame macro="">
          <xdr:nvGraphicFramePr>
            <xdr:cNvPr id="40" name="Property_Type">
              <a:extLst>
                <a:ext uri="{FF2B5EF4-FFF2-40B4-BE49-F238E27FC236}">
                  <a16:creationId xmlns:a16="http://schemas.microsoft.com/office/drawing/2014/main" id="{81FA2565-60D0-4D30-912C-4F44EA08AFFA}"/>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mlns="">
        <xdr:sp macro="" textlink="">
          <xdr:nvSpPr>
            <xdr:cNvPr id="0" name=""/>
            <xdr:cNvSpPr>
              <a:spLocks noTextEdit="1"/>
            </xdr:cNvSpPr>
          </xdr:nvSpPr>
          <xdr:spPr>
            <a:xfrm>
              <a:off x="0" y="5781676"/>
              <a:ext cx="1828800"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2.614769791668" createdVersion="7" refreshedVersion="7" minRefreshableVersion="3" recordCount="510" xr:uid="{87C3C226-87F9-4F66-99D1-83C8087A2ED2}">
  <cacheSource type="worksheet">
    <worksheetSource name="Table1"/>
  </cacheSource>
  <cacheFields count="14">
    <cacheField name="Property_ID" numFmtId="0">
      <sharedItems/>
    </cacheField>
    <cacheField name="Listing_Date" numFmtId="164">
      <sharedItems containsSemiMixedTypes="0" containsNonDate="0" containsDate="1" containsString="0" minDate="2025-01-02T00:00:00" maxDate="2026-01-01T00:00:00"/>
    </cacheField>
    <cacheField name="City" numFmtId="0">
      <sharedItems count="7">
        <s v="Denver"/>
        <s v="Chicago"/>
        <s v="Seattle"/>
        <s v="Austin"/>
        <s v="Miami"/>
        <s v="New York"/>
        <s v="Houston"/>
      </sharedItems>
    </cacheField>
    <cacheField name="Location" numFmtId="0">
      <sharedItems count="25">
        <s v="Lodo"/>
        <s v="Hyde Park"/>
        <s v="Ballard"/>
        <s v="South Congress"/>
        <s v="Round Rock"/>
        <s v="Coral Gables"/>
        <s v="Manhattan"/>
        <s v="Loop"/>
        <s v="Midtown"/>
        <s v="Brooklyn"/>
        <s v="North Loop"/>
        <s v="Lakeview"/>
        <s v="Cherry Creek"/>
        <s v="Highlands"/>
        <s v="Capitol Hill"/>
        <s v="Downtown"/>
        <s v="Brickell"/>
        <s v="Fremont"/>
        <s v="Queen Anne"/>
        <s v="Lincoln Park"/>
        <s v="Montrose"/>
        <s v="Katy"/>
        <s v="Wynwood"/>
        <s v="Queens"/>
        <s v="Bronx"/>
      </sharedItems>
    </cacheField>
    <cacheField name="Property_Type" numFmtId="0">
      <sharedItems count="4">
        <s v="Condo"/>
        <s v="Apartment"/>
        <s v="Townhouse"/>
        <s v="House"/>
      </sharedItems>
    </cacheField>
    <cacheField name="Bedrooms" numFmtId="0">
      <sharedItems containsSemiMixedTypes="0" containsString="0" containsNumber="1" containsInteger="1" minValue="1" maxValue="5" count="5">
        <n v="5"/>
        <n v="4"/>
        <n v="3"/>
        <n v="2"/>
        <n v="1"/>
      </sharedItems>
    </cacheField>
    <cacheField name="Bathrooms" numFmtId="0">
      <sharedItems containsSemiMixedTypes="0" containsString="0" containsNumber="1" containsInteger="1" minValue="1" maxValue="5"/>
    </cacheField>
    <cacheField name="Area_sqft" numFmtId="0">
      <sharedItems containsSemiMixedTypes="0" containsString="0" containsNumber="1" minValue="450" maxValue="3399"/>
    </cacheField>
    <cacheField name="Price" numFmtId="165">
      <sharedItems containsSemiMixedTypes="0" containsString="0" containsNumber="1" minValue="0" maxValue="3361300"/>
    </cacheField>
    <cacheField name="Price_per_sqft" numFmtId="2">
      <sharedItems containsSemiMixedTypes="0" containsString="0" containsNumber="1" minValue="0" maxValue="1220.2404809619238"/>
    </cacheField>
    <cacheField name="Furnishing" numFmtId="0">
      <sharedItems count="4">
        <s v="Unfurnished"/>
        <s v="Semi-Furnished"/>
        <s v="Furnished"/>
        <s v="0" u="1"/>
      </sharedItems>
    </cacheField>
    <cacheField name="Parking" numFmtId="0">
      <sharedItems/>
    </cacheField>
    <cacheField name="Property_Status" numFmtId="0">
      <sharedItems count="3">
        <s v="Active"/>
        <s v="Pending"/>
        <s v="Sold"/>
      </sharedItems>
    </cacheField>
    <cacheField name="Agent_Name" numFmtId="0">
      <sharedItems count="7">
        <s v="M. Johnson"/>
        <s v="R. Patel"/>
        <s v="K. Brown"/>
        <s v="D. Williams"/>
        <s v="S. Lee"/>
        <s v="A. Sharma"/>
        <s v="Unknown"/>
      </sharedItems>
    </cacheField>
  </cacheFields>
  <extLst>
    <ext xmlns:x14="http://schemas.microsoft.com/office/spreadsheetml/2009/9/main" uri="{725AE2AE-9491-48be-B2B4-4EB974FC3084}">
      <x14:pivotCacheDefinition pivotCacheId="1030609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s v="P0034"/>
    <d v="2025-07-28T00:00:00"/>
    <x v="0"/>
    <x v="0"/>
    <x v="0"/>
    <x v="0"/>
    <n v="4"/>
    <n v="3399"/>
    <n v="2342400"/>
    <n v="689.14386584289502"/>
    <x v="0"/>
    <s v="Yes"/>
    <x v="0"/>
    <x v="0"/>
  </r>
  <r>
    <s v="P0171"/>
    <d v="2025-11-25T00:00:00"/>
    <x v="1"/>
    <x v="1"/>
    <x v="0"/>
    <x v="0"/>
    <n v="4"/>
    <n v="3368"/>
    <n v="764200"/>
    <n v="226.90023752969122"/>
    <x v="0"/>
    <s v="No"/>
    <x v="1"/>
    <x v="0"/>
  </r>
  <r>
    <s v="P0311"/>
    <d v="2025-12-06T00:00:00"/>
    <x v="2"/>
    <x v="2"/>
    <x v="1"/>
    <x v="0"/>
    <n v="4"/>
    <n v="3233"/>
    <n v="2219800"/>
    <n v="686.60686668728738"/>
    <x v="1"/>
    <s v="Yes"/>
    <x v="2"/>
    <x v="1"/>
  </r>
  <r>
    <s v="P0361"/>
    <d v="2025-11-26T00:00:00"/>
    <x v="3"/>
    <x v="3"/>
    <x v="1"/>
    <x v="0"/>
    <n v="4"/>
    <n v="3142"/>
    <n v="1836900"/>
    <n v="584.62762571610438"/>
    <x v="2"/>
    <s v="No"/>
    <x v="2"/>
    <x v="1"/>
  </r>
  <r>
    <s v="P0118"/>
    <d v="2025-11-15T00:00:00"/>
    <x v="2"/>
    <x v="2"/>
    <x v="2"/>
    <x v="0"/>
    <n v="4"/>
    <n v="3140"/>
    <n v="2638200"/>
    <n v="840.19108280254773"/>
    <x v="0"/>
    <s v="Yes"/>
    <x v="1"/>
    <x v="2"/>
  </r>
  <r>
    <s v="P0223"/>
    <d v="2025-07-31T00:00:00"/>
    <x v="0"/>
    <x v="0"/>
    <x v="1"/>
    <x v="0"/>
    <n v="5"/>
    <n v="3129"/>
    <n v="1869600"/>
    <n v="597.50719079578141"/>
    <x v="2"/>
    <s v="Yes"/>
    <x v="0"/>
    <x v="2"/>
  </r>
  <r>
    <s v="P0359"/>
    <d v="2025-07-29T00:00:00"/>
    <x v="3"/>
    <x v="3"/>
    <x v="3"/>
    <x v="0"/>
    <n v="5"/>
    <n v="3092"/>
    <n v="1695900"/>
    <n v="548.47994825355761"/>
    <x v="1"/>
    <s v="Yes"/>
    <x v="0"/>
    <x v="3"/>
  </r>
  <r>
    <s v="P0010"/>
    <d v="2025-03-20T00:00:00"/>
    <x v="1"/>
    <x v="4"/>
    <x v="1"/>
    <x v="0"/>
    <n v="5"/>
    <n v="3072"/>
    <n v="1435400"/>
    <n v="467.25260416666669"/>
    <x v="1"/>
    <s v="Yes"/>
    <x v="1"/>
    <x v="4"/>
  </r>
  <r>
    <s v="P0467"/>
    <d v="2025-08-15T00:00:00"/>
    <x v="4"/>
    <x v="5"/>
    <x v="2"/>
    <x v="0"/>
    <n v="5"/>
    <n v="3054"/>
    <n v="1974300"/>
    <n v="646.46365422396855"/>
    <x v="2"/>
    <s v="Yes"/>
    <x v="0"/>
    <x v="4"/>
  </r>
  <r>
    <s v="P0299"/>
    <d v="2025-10-09T00:00:00"/>
    <x v="5"/>
    <x v="6"/>
    <x v="0"/>
    <x v="0"/>
    <n v="5"/>
    <n v="2949"/>
    <n v="3144300"/>
    <n v="1066.2258392675483"/>
    <x v="2"/>
    <s v="Yes"/>
    <x v="2"/>
    <x v="5"/>
  </r>
  <r>
    <s v="P0487"/>
    <d v="2025-10-20T00:00:00"/>
    <x v="4"/>
    <x v="5"/>
    <x v="1"/>
    <x v="0"/>
    <n v="4"/>
    <n v="2943"/>
    <n v="1947500"/>
    <n v="661.73972137274893"/>
    <x v="0"/>
    <s v="Yes"/>
    <x v="0"/>
    <x v="5"/>
  </r>
  <r>
    <s v="P0295"/>
    <d v="2025-06-17T00:00:00"/>
    <x v="1"/>
    <x v="7"/>
    <x v="0"/>
    <x v="0"/>
    <n v="5"/>
    <n v="2901"/>
    <n v="1507400"/>
    <n v="519.61392623233371"/>
    <x v="1"/>
    <s v="No"/>
    <x v="2"/>
    <x v="0"/>
  </r>
  <r>
    <s v="P0099"/>
    <d v="2025-02-28T00:00:00"/>
    <x v="6"/>
    <x v="8"/>
    <x v="0"/>
    <x v="0"/>
    <n v="5"/>
    <n v="2868"/>
    <n v="1074500"/>
    <n v="374.65132496513252"/>
    <x v="1"/>
    <s v="Yes"/>
    <x v="0"/>
    <x v="0"/>
  </r>
  <r>
    <s v="P0260"/>
    <d v="2025-07-07T00:00:00"/>
    <x v="5"/>
    <x v="9"/>
    <x v="0"/>
    <x v="0"/>
    <n v="4"/>
    <n v="2866"/>
    <n v="3361300"/>
    <n v="1172.8192602930915"/>
    <x v="0"/>
    <s v="Yes"/>
    <x v="1"/>
    <x v="4"/>
  </r>
  <r>
    <s v="P0373"/>
    <d v="2025-11-14T00:00:00"/>
    <x v="3"/>
    <x v="10"/>
    <x v="0"/>
    <x v="0"/>
    <n v="5"/>
    <n v="2852"/>
    <n v="1610600"/>
    <n v="564.72650771388498"/>
    <x v="0"/>
    <s v="No"/>
    <x v="1"/>
    <x v="2"/>
  </r>
  <r>
    <s v="P0114"/>
    <d v="2025-02-18T00:00:00"/>
    <x v="1"/>
    <x v="11"/>
    <x v="0"/>
    <x v="0"/>
    <n v="5"/>
    <n v="2839"/>
    <n v="1319000"/>
    <n v="464.60021134202185"/>
    <x v="1"/>
    <s v="No"/>
    <x v="2"/>
    <x v="2"/>
  </r>
  <r>
    <s v="P0176"/>
    <d v="2025-09-21T00:00:00"/>
    <x v="0"/>
    <x v="12"/>
    <x v="3"/>
    <x v="0"/>
    <n v="5"/>
    <n v="2839"/>
    <n v="1710900"/>
    <n v="602.64177527298341"/>
    <x v="1"/>
    <s v="No"/>
    <x v="2"/>
    <x v="4"/>
  </r>
  <r>
    <s v="P0327"/>
    <d v="2025-08-11T00:00:00"/>
    <x v="1"/>
    <x v="1"/>
    <x v="3"/>
    <x v="0"/>
    <n v="5"/>
    <n v="2831"/>
    <n v="1472700"/>
    <n v="520.20487460261393"/>
    <x v="2"/>
    <s v="Yes"/>
    <x v="1"/>
    <x v="1"/>
  </r>
  <r>
    <s v="P0406"/>
    <d v="2025-06-19T00:00:00"/>
    <x v="0"/>
    <x v="13"/>
    <x v="0"/>
    <x v="0"/>
    <n v="5"/>
    <n v="2795"/>
    <n v="1577500"/>
    <n v="564.40071556350631"/>
    <x v="1"/>
    <s v="No"/>
    <x v="2"/>
    <x v="1"/>
  </r>
  <r>
    <s v="P0481"/>
    <d v="2025-02-21T00:00:00"/>
    <x v="2"/>
    <x v="14"/>
    <x v="1"/>
    <x v="0"/>
    <n v="5"/>
    <n v="2776"/>
    <n v="1982600"/>
    <n v="714.193083573487"/>
    <x v="0"/>
    <s v="Yes"/>
    <x v="1"/>
    <x v="4"/>
  </r>
  <r>
    <s v="P0147"/>
    <d v="2025-12-23T00:00:00"/>
    <x v="6"/>
    <x v="15"/>
    <x v="0"/>
    <x v="0"/>
    <n v="5"/>
    <n v="2740"/>
    <n v="1016400"/>
    <n v="370.94890510948903"/>
    <x v="2"/>
    <s v="No"/>
    <x v="2"/>
    <x v="3"/>
  </r>
  <r>
    <s v="P0395"/>
    <d v="2025-08-11T00:00:00"/>
    <x v="1"/>
    <x v="1"/>
    <x v="2"/>
    <x v="0"/>
    <n v="5"/>
    <n v="2732"/>
    <n v="882186.4706"/>
    <n v="322.90866420204981"/>
    <x v="0"/>
    <s v="Yes"/>
    <x v="1"/>
    <x v="2"/>
  </r>
  <r>
    <s v="P0277"/>
    <d v="2025-04-07T00:00:00"/>
    <x v="1"/>
    <x v="7"/>
    <x v="1"/>
    <x v="0"/>
    <n v="4"/>
    <n v="2716"/>
    <n v="1190800"/>
    <n v="438.43888070692196"/>
    <x v="0"/>
    <s v="No"/>
    <x v="2"/>
    <x v="2"/>
  </r>
  <r>
    <s v="P0022"/>
    <d v="2025-09-06T00:00:00"/>
    <x v="4"/>
    <x v="16"/>
    <x v="1"/>
    <x v="0"/>
    <n v="5"/>
    <n v="2713"/>
    <n v="1631000"/>
    <n v="601.17950608182821"/>
    <x v="1"/>
    <s v="Yes"/>
    <x v="2"/>
    <x v="5"/>
  </r>
  <r>
    <s v="P0345"/>
    <d v="2025-03-07T00:00:00"/>
    <x v="2"/>
    <x v="17"/>
    <x v="3"/>
    <x v="0"/>
    <n v="4"/>
    <n v="2703"/>
    <n v="1852100"/>
    <n v="685.20162782093973"/>
    <x v="0"/>
    <s v="No"/>
    <x v="1"/>
    <x v="3"/>
  </r>
  <r>
    <s v="P0101"/>
    <d v="2025-01-13T00:00:00"/>
    <x v="0"/>
    <x v="12"/>
    <x v="2"/>
    <x v="0"/>
    <n v="4"/>
    <n v="2700"/>
    <n v="1470600"/>
    <n v="544.66666666666663"/>
    <x v="0"/>
    <s v="No"/>
    <x v="1"/>
    <x v="0"/>
  </r>
  <r>
    <s v="P0435"/>
    <d v="2025-07-26T00:00:00"/>
    <x v="2"/>
    <x v="17"/>
    <x v="0"/>
    <x v="0"/>
    <n v="5"/>
    <n v="2671"/>
    <n v="2099900"/>
    <n v="786.18494945713212"/>
    <x v="0"/>
    <s v="Yes"/>
    <x v="2"/>
    <x v="0"/>
  </r>
  <r>
    <s v="P0044"/>
    <d v="2025-01-24T00:00:00"/>
    <x v="0"/>
    <x v="12"/>
    <x v="3"/>
    <x v="0"/>
    <n v="5"/>
    <n v="2665"/>
    <n v="1456000"/>
    <n v="546.34146341463418"/>
    <x v="2"/>
    <s v="No"/>
    <x v="1"/>
    <x v="5"/>
  </r>
  <r>
    <s v="P0301"/>
    <d v="2025-08-16T00:00:00"/>
    <x v="0"/>
    <x v="0"/>
    <x v="0"/>
    <x v="0"/>
    <n v="5"/>
    <n v="2662"/>
    <n v="1842600"/>
    <n v="692.18632607062364"/>
    <x v="2"/>
    <s v="Yes"/>
    <x v="2"/>
    <x v="5"/>
  </r>
  <r>
    <s v="P0253"/>
    <d v="2025-05-15T00:00:00"/>
    <x v="4"/>
    <x v="16"/>
    <x v="1"/>
    <x v="0"/>
    <n v="4"/>
    <n v="2654"/>
    <n v="1731200"/>
    <n v="652.29841748304443"/>
    <x v="0"/>
    <s v="No"/>
    <x v="1"/>
    <x v="2"/>
  </r>
  <r>
    <s v="P0298"/>
    <d v="2025-12-31T00:00:00"/>
    <x v="2"/>
    <x v="14"/>
    <x v="3"/>
    <x v="0"/>
    <n v="5"/>
    <n v="2649"/>
    <n v="1842500"/>
    <n v="695.5454888637222"/>
    <x v="2"/>
    <s v="No"/>
    <x v="2"/>
    <x v="3"/>
  </r>
  <r>
    <s v="P0413"/>
    <d v="2025-05-21T00:00:00"/>
    <x v="3"/>
    <x v="15"/>
    <x v="1"/>
    <x v="1"/>
    <n v="4"/>
    <n v="2616"/>
    <n v="1429800"/>
    <n v="546.55963302752298"/>
    <x v="0"/>
    <s v="No"/>
    <x v="1"/>
    <x v="3"/>
  </r>
  <r>
    <s v="P0310"/>
    <d v="2025-04-01T00:00:00"/>
    <x v="5"/>
    <x v="6"/>
    <x v="3"/>
    <x v="0"/>
    <n v="5"/>
    <n v="2611"/>
    <n v="2603900"/>
    <n v="997.28073535044041"/>
    <x v="1"/>
    <s v="Yes"/>
    <x v="0"/>
    <x v="0"/>
  </r>
  <r>
    <s v="P0019"/>
    <d v="2025-08-09T00:00:00"/>
    <x v="2"/>
    <x v="18"/>
    <x v="3"/>
    <x v="0"/>
    <n v="5"/>
    <n v="2603"/>
    <n v="1783200"/>
    <n v="685.05570495582026"/>
    <x v="1"/>
    <s v="No"/>
    <x v="2"/>
    <x v="4"/>
  </r>
  <r>
    <s v="P0061"/>
    <d v="2025-05-05T00:00:00"/>
    <x v="4"/>
    <x v="5"/>
    <x v="0"/>
    <x v="0"/>
    <n v="5"/>
    <n v="2593"/>
    <n v="2110500"/>
    <n v="813.92209795603549"/>
    <x v="1"/>
    <s v="No"/>
    <x v="2"/>
    <x v="5"/>
  </r>
  <r>
    <s v="P0043"/>
    <d v="2025-11-21T00:00:00"/>
    <x v="3"/>
    <x v="3"/>
    <x v="2"/>
    <x v="0"/>
    <n v="4"/>
    <n v="2591"/>
    <n v="1441800"/>
    <n v="556.46468544963329"/>
    <x v="0"/>
    <s v="No"/>
    <x v="0"/>
    <x v="0"/>
  </r>
  <r>
    <s v="P0426"/>
    <d v="2025-06-11T00:00:00"/>
    <x v="5"/>
    <x v="9"/>
    <x v="2"/>
    <x v="1"/>
    <n v="4"/>
    <n v="2584"/>
    <n v="2746900"/>
    <n v="1063.0417956656347"/>
    <x v="1"/>
    <s v="No"/>
    <x v="0"/>
    <x v="0"/>
  </r>
  <r>
    <s v="P0287"/>
    <d v="2025-01-24T00:00:00"/>
    <x v="0"/>
    <x v="0"/>
    <x v="3"/>
    <x v="1"/>
    <n v="3"/>
    <n v="2576"/>
    <n v="1351600"/>
    <n v="524.68944099378882"/>
    <x v="1"/>
    <s v="No"/>
    <x v="2"/>
    <x v="0"/>
  </r>
  <r>
    <s v="P0372"/>
    <d v="2025-11-23T00:00:00"/>
    <x v="5"/>
    <x v="9"/>
    <x v="1"/>
    <x v="0"/>
    <n v="4"/>
    <n v="2573"/>
    <n v="2786700"/>
    <n v="1083.0547998445395"/>
    <x v="1"/>
    <s v="Yes"/>
    <x v="1"/>
    <x v="2"/>
  </r>
  <r>
    <s v="P0384"/>
    <d v="2025-08-20T00:00:00"/>
    <x v="0"/>
    <x v="12"/>
    <x v="3"/>
    <x v="0"/>
    <n v="4"/>
    <n v="2550"/>
    <n v="1346100"/>
    <n v="527.88235294117646"/>
    <x v="2"/>
    <s v="Yes"/>
    <x v="1"/>
    <x v="2"/>
  </r>
  <r>
    <s v="P0068"/>
    <d v="2025-08-29T00:00:00"/>
    <x v="0"/>
    <x v="13"/>
    <x v="1"/>
    <x v="0"/>
    <n v="5"/>
    <n v="2549"/>
    <n v="1451000"/>
    <n v="569.24284032954097"/>
    <x v="1"/>
    <s v="No"/>
    <x v="2"/>
    <x v="0"/>
  </r>
  <r>
    <s v="P0265"/>
    <d v="2025-10-23T00:00:00"/>
    <x v="1"/>
    <x v="1"/>
    <x v="0"/>
    <x v="0"/>
    <n v="5"/>
    <n v="2548"/>
    <n v="1213100"/>
    <n v="476.09890109890108"/>
    <x v="0"/>
    <s v="No"/>
    <x v="1"/>
    <x v="4"/>
  </r>
  <r>
    <s v="P0316"/>
    <d v="2025-02-25T00:00:00"/>
    <x v="6"/>
    <x v="8"/>
    <x v="3"/>
    <x v="1"/>
    <n v="4"/>
    <n v="2519"/>
    <n v="795500"/>
    <n v="315.79992060341408"/>
    <x v="0"/>
    <s v="Yes"/>
    <x v="0"/>
    <x v="4"/>
  </r>
  <r>
    <s v="P0396"/>
    <d v="2025-02-07T00:00:00"/>
    <x v="1"/>
    <x v="19"/>
    <x v="2"/>
    <x v="1"/>
    <n v="4"/>
    <n v="2517"/>
    <n v="988200"/>
    <n v="392.61025029797378"/>
    <x v="2"/>
    <s v="Yes"/>
    <x v="2"/>
    <x v="3"/>
  </r>
  <r>
    <s v="P0228"/>
    <d v="2025-02-12T00:00:00"/>
    <x v="3"/>
    <x v="4"/>
    <x v="1"/>
    <x v="1"/>
    <n v="4"/>
    <n v="2510"/>
    <n v="1396300"/>
    <n v="556.29482071713153"/>
    <x v="1"/>
    <s v="No"/>
    <x v="1"/>
    <x v="1"/>
  </r>
  <r>
    <s v="P0209"/>
    <d v="2025-02-27T00:00:00"/>
    <x v="0"/>
    <x v="13"/>
    <x v="2"/>
    <x v="0"/>
    <n v="5"/>
    <n v="2506"/>
    <n v="1381300"/>
    <n v="551.19712689545088"/>
    <x v="2"/>
    <s v="No"/>
    <x v="1"/>
    <x v="5"/>
  </r>
  <r>
    <s v="P0337"/>
    <d v="2025-07-17T00:00:00"/>
    <x v="6"/>
    <x v="20"/>
    <x v="3"/>
    <x v="0"/>
    <n v="5"/>
    <n v="2495"/>
    <n v="773600"/>
    <n v="310.06012024048096"/>
    <x v="2"/>
    <s v="Yes"/>
    <x v="1"/>
    <x v="0"/>
  </r>
  <r>
    <s v="P0115"/>
    <d v="2025-02-19T00:00:00"/>
    <x v="6"/>
    <x v="20"/>
    <x v="3"/>
    <x v="1"/>
    <n v="4"/>
    <n v="2489"/>
    <n v="730000"/>
    <n v="293.29047810365608"/>
    <x v="0"/>
    <s v="No"/>
    <x v="0"/>
    <x v="3"/>
  </r>
  <r>
    <s v="P0096"/>
    <d v="2025-04-28T00:00:00"/>
    <x v="4"/>
    <x v="16"/>
    <x v="2"/>
    <x v="0"/>
    <n v="2"/>
    <n v="2482"/>
    <n v="1845500"/>
    <n v="743.5535858178888"/>
    <x v="0"/>
    <s v="No"/>
    <x v="0"/>
    <x v="2"/>
  </r>
  <r>
    <s v="P0084"/>
    <d v="2025-08-01T00:00:00"/>
    <x v="3"/>
    <x v="3"/>
    <x v="3"/>
    <x v="0"/>
    <n v="5"/>
    <n v="2479"/>
    <n v="1329000"/>
    <n v="536.10326744655106"/>
    <x v="1"/>
    <s v="No"/>
    <x v="0"/>
    <x v="1"/>
  </r>
  <r>
    <s v="P0157"/>
    <d v="2025-04-03T00:00:00"/>
    <x v="3"/>
    <x v="10"/>
    <x v="0"/>
    <x v="0"/>
    <n v="5"/>
    <n v="2473"/>
    <n v="764200"/>
    <n v="309.01738778811159"/>
    <x v="0"/>
    <s v="No"/>
    <x v="2"/>
    <x v="5"/>
  </r>
  <r>
    <s v="P0136"/>
    <d v="2025-02-03T00:00:00"/>
    <x v="4"/>
    <x v="5"/>
    <x v="1"/>
    <x v="0"/>
    <n v="4"/>
    <n v="2468"/>
    <n v="1692100"/>
    <n v="685.61588330632094"/>
    <x v="1"/>
    <s v="Yes"/>
    <x v="1"/>
    <x v="2"/>
  </r>
  <r>
    <s v="P0250"/>
    <d v="2025-12-13T00:00:00"/>
    <x v="5"/>
    <x v="9"/>
    <x v="1"/>
    <x v="0"/>
    <n v="5"/>
    <n v="2444"/>
    <n v="2449400"/>
    <n v="1002.2094926350245"/>
    <x v="2"/>
    <s v="Yes"/>
    <x v="1"/>
    <x v="0"/>
  </r>
  <r>
    <s v="P0414"/>
    <d v="2025-12-01T00:00:00"/>
    <x v="2"/>
    <x v="2"/>
    <x v="2"/>
    <x v="1"/>
    <n v="4"/>
    <n v="2443"/>
    <n v="1757200"/>
    <n v="719.27957429390096"/>
    <x v="2"/>
    <s v="No"/>
    <x v="2"/>
    <x v="0"/>
  </r>
  <r>
    <s v="P0196"/>
    <d v="2025-08-23T00:00:00"/>
    <x v="3"/>
    <x v="10"/>
    <x v="3"/>
    <x v="0"/>
    <n v="5"/>
    <n v="2411"/>
    <n v="1312400"/>
    <n v="544.33844877644128"/>
    <x v="0"/>
    <s v="No"/>
    <x v="1"/>
    <x v="0"/>
  </r>
  <r>
    <s v="P0163"/>
    <d v="2025-12-22T00:00:00"/>
    <x v="3"/>
    <x v="15"/>
    <x v="0"/>
    <x v="0"/>
    <n v="5"/>
    <n v="2410"/>
    <n v="1467000"/>
    <n v="608.71369294605813"/>
    <x v="1"/>
    <s v="Yes"/>
    <x v="0"/>
    <x v="0"/>
  </r>
  <r>
    <s v="P0163"/>
    <d v="2025-12-22T00:00:00"/>
    <x v="3"/>
    <x v="15"/>
    <x v="0"/>
    <x v="0"/>
    <n v="5"/>
    <n v="2410"/>
    <n v="1467000"/>
    <n v="608.71369294605813"/>
    <x v="1"/>
    <s v="Yes"/>
    <x v="0"/>
    <x v="0"/>
  </r>
  <r>
    <s v="P0237"/>
    <d v="2025-05-05T00:00:00"/>
    <x v="6"/>
    <x v="21"/>
    <x v="2"/>
    <x v="0"/>
    <n v="5"/>
    <n v="2409"/>
    <n v="871200"/>
    <n v="361.64383561643837"/>
    <x v="0"/>
    <s v="Yes"/>
    <x v="1"/>
    <x v="4"/>
  </r>
  <r>
    <s v="P0381"/>
    <d v="2025-09-15T00:00:00"/>
    <x v="0"/>
    <x v="12"/>
    <x v="0"/>
    <x v="1"/>
    <n v="4"/>
    <n v="2392"/>
    <n v="1677900"/>
    <n v="701.46321070234114"/>
    <x v="0"/>
    <s v="No"/>
    <x v="1"/>
    <x v="5"/>
  </r>
  <r>
    <s v="P0003"/>
    <d v="2025-06-22T00:00:00"/>
    <x v="2"/>
    <x v="17"/>
    <x v="1"/>
    <x v="0"/>
    <n v="5"/>
    <n v="2368"/>
    <n v="1528300"/>
    <n v="645.39695945945948"/>
    <x v="2"/>
    <s v="Yes"/>
    <x v="2"/>
    <x v="5"/>
  </r>
  <r>
    <s v="P0202"/>
    <d v="2025-02-11T00:00:00"/>
    <x v="4"/>
    <x v="22"/>
    <x v="3"/>
    <x v="1"/>
    <n v="3"/>
    <n v="2365"/>
    <n v="764200"/>
    <n v="323.12896405919662"/>
    <x v="0"/>
    <s v="No"/>
    <x v="1"/>
    <x v="2"/>
  </r>
  <r>
    <s v="P0403"/>
    <d v="2025-04-12T00:00:00"/>
    <x v="4"/>
    <x v="16"/>
    <x v="2"/>
    <x v="1"/>
    <n v="3"/>
    <n v="2357"/>
    <n v="1524500"/>
    <n v="646.79677556215529"/>
    <x v="0"/>
    <s v="No"/>
    <x v="2"/>
    <x v="1"/>
  </r>
  <r>
    <s v="P0137"/>
    <d v="2025-02-11T00:00:00"/>
    <x v="3"/>
    <x v="10"/>
    <x v="0"/>
    <x v="1"/>
    <n v="3"/>
    <n v="2353"/>
    <n v="1261600"/>
    <n v="536.16659583510409"/>
    <x v="0"/>
    <s v="Yes"/>
    <x v="2"/>
    <x v="1"/>
  </r>
  <r>
    <s v="P0447"/>
    <d v="2025-07-15T00:00:00"/>
    <x v="1"/>
    <x v="1"/>
    <x v="3"/>
    <x v="0"/>
    <n v="5"/>
    <n v="2351"/>
    <n v="1098300"/>
    <n v="467.16290940025522"/>
    <x v="2"/>
    <s v="Yes"/>
    <x v="1"/>
    <x v="0"/>
  </r>
  <r>
    <s v="P0457"/>
    <d v="2025-12-06T00:00:00"/>
    <x v="0"/>
    <x v="12"/>
    <x v="2"/>
    <x v="1"/>
    <n v="4"/>
    <n v="2343"/>
    <n v="1201200"/>
    <n v="512.67605633802816"/>
    <x v="1"/>
    <s v="No"/>
    <x v="2"/>
    <x v="4"/>
  </r>
  <r>
    <s v="P0106"/>
    <d v="2025-04-19T00:00:00"/>
    <x v="6"/>
    <x v="8"/>
    <x v="1"/>
    <x v="0"/>
    <n v="5"/>
    <n v="2337"/>
    <n v="634300"/>
    <n v="271.41634574240481"/>
    <x v="0"/>
    <s v="Yes"/>
    <x v="0"/>
    <x v="1"/>
  </r>
  <r>
    <s v="P0135"/>
    <d v="2025-07-06T00:00:00"/>
    <x v="1"/>
    <x v="19"/>
    <x v="3"/>
    <x v="1"/>
    <n v="4"/>
    <n v="2316"/>
    <n v="1097400"/>
    <n v="473.83419689119171"/>
    <x v="1"/>
    <s v="No"/>
    <x v="2"/>
    <x v="4"/>
  </r>
  <r>
    <s v="P0425"/>
    <d v="2025-04-07T00:00:00"/>
    <x v="6"/>
    <x v="21"/>
    <x v="3"/>
    <x v="0"/>
    <n v="5"/>
    <n v="2308"/>
    <n v="740600"/>
    <n v="320.88388214904677"/>
    <x v="2"/>
    <s v="Yes"/>
    <x v="1"/>
    <x v="3"/>
  </r>
  <r>
    <s v="P0111"/>
    <d v="2025-08-16T00:00:00"/>
    <x v="5"/>
    <x v="9"/>
    <x v="2"/>
    <x v="0"/>
    <n v="5"/>
    <n v="2307"/>
    <n v="2467700"/>
    <n v="1069.6575639358475"/>
    <x v="2"/>
    <s v="Yes"/>
    <x v="2"/>
    <x v="3"/>
  </r>
  <r>
    <s v="P0097"/>
    <d v="2025-08-14T00:00:00"/>
    <x v="1"/>
    <x v="7"/>
    <x v="3"/>
    <x v="1"/>
    <n v="4"/>
    <n v="2305"/>
    <n v="1007300"/>
    <n v="437.00650759219087"/>
    <x v="2"/>
    <s v="No"/>
    <x v="1"/>
    <x v="0"/>
  </r>
  <r>
    <s v="P0131"/>
    <d v="2025-11-20T00:00:00"/>
    <x v="3"/>
    <x v="4"/>
    <x v="0"/>
    <x v="0"/>
    <n v="4"/>
    <n v="2304"/>
    <n v="1350700"/>
    <n v="586.24131944444446"/>
    <x v="1"/>
    <s v="No"/>
    <x v="1"/>
    <x v="5"/>
  </r>
  <r>
    <s v="P0452"/>
    <d v="2025-11-10T00:00:00"/>
    <x v="3"/>
    <x v="3"/>
    <x v="3"/>
    <x v="1"/>
    <n v="4"/>
    <n v="2303"/>
    <n v="1285500"/>
    <n v="558.18497611810676"/>
    <x v="0"/>
    <s v="No"/>
    <x v="0"/>
    <x v="5"/>
  </r>
  <r>
    <s v="P0296"/>
    <d v="2025-02-24T00:00:00"/>
    <x v="5"/>
    <x v="23"/>
    <x v="3"/>
    <x v="0"/>
    <n v="4"/>
    <n v="2298"/>
    <n v="2144200"/>
    <n v="933.07223672758926"/>
    <x v="2"/>
    <s v="No"/>
    <x v="2"/>
    <x v="1"/>
  </r>
  <r>
    <s v="P0371"/>
    <d v="2025-12-01T00:00:00"/>
    <x v="3"/>
    <x v="4"/>
    <x v="1"/>
    <x v="0"/>
    <n v="5"/>
    <n v="2286"/>
    <n v="1205700"/>
    <n v="527.42782152230973"/>
    <x v="2"/>
    <s v="Yes"/>
    <x v="2"/>
    <x v="4"/>
  </r>
  <r>
    <s v="P0143"/>
    <d v="2025-07-15T00:00:00"/>
    <x v="4"/>
    <x v="22"/>
    <x v="0"/>
    <x v="1"/>
    <n v="3"/>
    <n v="2278"/>
    <n v="1585500"/>
    <n v="696.00526777875325"/>
    <x v="0"/>
    <s v="No"/>
    <x v="0"/>
    <x v="0"/>
  </r>
  <r>
    <s v="P0281"/>
    <d v="2025-05-23T00:00:00"/>
    <x v="2"/>
    <x v="18"/>
    <x v="2"/>
    <x v="1"/>
    <n v="4"/>
    <n v="2268"/>
    <n v="1744200"/>
    <n v="769.04761904761904"/>
    <x v="2"/>
    <s v="No"/>
    <x v="0"/>
    <x v="3"/>
  </r>
  <r>
    <s v="P0264"/>
    <d v="2025-05-22T00:00:00"/>
    <x v="6"/>
    <x v="15"/>
    <x v="3"/>
    <x v="0"/>
    <n v="5"/>
    <n v="2263"/>
    <n v="827100"/>
    <n v="365.48828988068936"/>
    <x v="0"/>
    <s v="Yes"/>
    <x v="1"/>
    <x v="0"/>
  </r>
  <r>
    <s v="P0285"/>
    <d v="2025-05-15T00:00:00"/>
    <x v="1"/>
    <x v="7"/>
    <x v="1"/>
    <x v="0"/>
    <n v="5"/>
    <n v="2257"/>
    <n v="968300"/>
    <n v="429.02082410279132"/>
    <x v="0"/>
    <s v="Yes"/>
    <x v="2"/>
    <x v="6"/>
  </r>
  <r>
    <s v="P0358"/>
    <d v="2025-11-13T00:00:00"/>
    <x v="0"/>
    <x v="14"/>
    <x v="2"/>
    <x v="0"/>
    <n v="5"/>
    <n v="2221"/>
    <n v="1305900"/>
    <n v="587.97838811346242"/>
    <x v="2"/>
    <s v="No"/>
    <x v="0"/>
    <x v="5"/>
  </r>
  <r>
    <s v="P0193"/>
    <d v="2025-02-15T00:00:00"/>
    <x v="3"/>
    <x v="4"/>
    <x v="3"/>
    <x v="0"/>
    <n v="5"/>
    <n v="2219"/>
    <n v="1402100"/>
    <n v="631.8611987381704"/>
    <x v="0"/>
    <s v="Yes"/>
    <x v="1"/>
    <x v="2"/>
  </r>
  <r>
    <s v="P0308"/>
    <d v="2025-10-30T00:00:00"/>
    <x v="1"/>
    <x v="1"/>
    <x v="0"/>
    <x v="0"/>
    <n v="4"/>
    <n v="2204"/>
    <n v="1107600"/>
    <n v="502.54083484573505"/>
    <x v="2"/>
    <s v="No"/>
    <x v="1"/>
    <x v="3"/>
  </r>
  <r>
    <s v="P0048"/>
    <d v="2025-05-03T00:00:00"/>
    <x v="4"/>
    <x v="22"/>
    <x v="0"/>
    <x v="0"/>
    <n v="4"/>
    <n v="2202"/>
    <n v="1620400"/>
    <n v="735.87647593097188"/>
    <x v="1"/>
    <s v="No"/>
    <x v="0"/>
    <x v="2"/>
  </r>
  <r>
    <s v="P0013"/>
    <d v="2025-03-24T00:00:00"/>
    <x v="2"/>
    <x v="14"/>
    <x v="0"/>
    <x v="0"/>
    <n v="4"/>
    <n v="2200"/>
    <n v="1692000"/>
    <n v="769.09090909090912"/>
    <x v="0"/>
    <s v="Yes"/>
    <x v="1"/>
    <x v="1"/>
  </r>
  <r>
    <s v="P0368"/>
    <d v="2025-06-27T00:00:00"/>
    <x v="2"/>
    <x v="14"/>
    <x v="2"/>
    <x v="1"/>
    <n v="3"/>
    <n v="2196"/>
    <n v="1528700"/>
    <n v="696.12932604735886"/>
    <x v="0"/>
    <s v="No"/>
    <x v="0"/>
    <x v="3"/>
  </r>
  <r>
    <s v="P0420"/>
    <d v="2025-04-04T00:00:00"/>
    <x v="1"/>
    <x v="11"/>
    <x v="3"/>
    <x v="0"/>
    <n v="4"/>
    <n v="2187"/>
    <n v="1092700"/>
    <n v="499.63420210333788"/>
    <x v="0"/>
    <s v="No"/>
    <x v="0"/>
    <x v="2"/>
  </r>
  <r>
    <s v="P0104"/>
    <d v="2025-11-12T00:00:00"/>
    <x v="0"/>
    <x v="14"/>
    <x v="2"/>
    <x v="1"/>
    <n v="4"/>
    <n v="2183"/>
    <n v="1393200"/>
    <n v="638.20430600091618"/>
    <x v="1"/>
    <s v="No"/>
    <x v="0"/>
    <x v="2"/>
  </r>
  <r>
    <s v="P0423"/>
    <d v="2025-01-23T00:00:00"/>
    <x v="0"/>
    <x v="14"/>
    <x v="1"/>
    <x v="0"/>
    <n v="4"/>
    <n v="2176"/>
    <n v="1172900"/>
    <n v="539.01654411764707"/>
    <x v="0"/>
    <s v="No"/>
    <x v="0"/>
    <x v="4"/>
  </r>
  <r>
    <s v="P0343"/>
    <d v="2025-07-18T00:00:00"/>
    <x v="0"/>
    <x v="14"/>
    <x v="1"/>
    <x v="1"/>
    <n v="4"/>
    <n v="2165"/>
    <n v="1182400"/>
    <n v="546.14318706697463"/>
    <x v="0"/>
    <s v="Yes"/>
    <x v="1"/>
    <x v="2"/>
  </r>
  <r>
    <s v="P0154"/>
    <d v="2025-04-14T00:00:00"/>
    <x v="4"/>
    <x v="22"/>
    <x v="1"/>
    <x v="1"/>
    <n v="4"/>
    <n v="2148"/>
    <n v="1242600"/>
    <n v="578.49162011173189"/>
    <x v="2"/>
    <s v="Yes"/>
    <x v="0"/>
    <x v="1"/>
  </r>
  <r>
    <s v="P0305"/>
    <d v="2025-10-17T00:00:00"/>
    <x v="1"/>
    <x v="19"/>
    <x v="2"/>
    <x v="0"/>
    <n v="4"/>
    <n v="2142"/>
    <n v="954900"/>
    <n v="445.79831932773106"/>
    <x v="0"/>
    <s v="No"/>
    <x v="2"/>
    <x v="1"/>
  </r>
  <r>
    <s v="P0005"/>
    <d v="2025-02-10T00:00:00"/>
    <x v="6"/>
    <x v="20"/>
    <x v="3"/>
    <x v="1"/>
    <n v="4"/>
    <n v="2135"/>
    <n v="662800"/>
    <n v="310.44496487119437"/>
    <x v="2"/>
    <s v="Yes"/>
    <x v="2"/>
    <x v="1"/>
  </r>
  <r>
    <s v="P0427"/>
    <d v="2025-12-15T00:00:00"/>
    <x v="3"/>
    <x v="10"/>
    <x v="0"/>
    <x v="0"/>
    <n v="4"/>
    <n v="2119"/>
    <n v="1177800"/>
    <n v="555.82822085889575"/>
    <x v="1"/>
    <s v="Yes"/>
    <x v="2"/>
    <x v="3"/>
  </r>
  <r>
    <s v="P0243"/>
    <d v="2025-12-21T00:00:00"/>
    <x v="2"/>
    <x v="2"/>
    <x v="1"/>
    <x v="1"/>
    <n v="4"/>
    <n v="2119"/>
    <n v="1624800"/>
    <n v="766.7767815007079"/>
    <x v="2"/>
    <s v="No"/>
    <x v="1"/>
    <x v="4"/>
  </r>
  <r>
    <s v="P0004"/>
    <d v="2025-10-02T00:00:00"/>
    <x v="6"/>
    <x v="20"/>
    <x v="0"/>
    <x v="0"/>
    <n v="5"/>
    <n v="2111"/>
    <n v="763900"/>
    <n v="361.8664140217906"/>
    <x v="2"/>
    <s v="No"/>
    <x v="0"/>
    <x v="3"/>
  </r>
  <r>
    <s v="P0230"/>
    <d v="2025-04-17T00:00:00"/>
    <x v="2"/>
    <x v="14"/>
    <x v="3"/>
    <x v="0"/>
    <n v="5"/>
    <n v="2098"/>
    <n v="1402500"/>
    <n v="668.49380362249758"/>
    <x v="0"/>
    <s v="Yes"/>
    <x v="1"/>
    <x v="4"/>
  </r>
  <r>
    <s v="P0036"/>
    <d v="2025-04-24T00:00:00"/>
    <x v="4"/>
    <x v="16"/>
    <x v="2"/>
    <x v="0"/>
    <n v="5"/>
    <n v="2097"/>
    <n v="1591200"/>
    <n v="758.79828326180257"/>
    <x v="2"/>
    <s v="No"/>
    <x v="2"/>
    <x v="1"/>
  </r>
  <r>
    <s v="P0170"/>
    <d v="2025-02-17T00:00:00"/>
    <x v="1"/>
    <x v="7"/>
    <x v="3"/>
    <x v="1"/>
    <n v="4"/>
    <n v="2091"/>
    <n v="992000"/>
    <n v="474.41415590626497"/>
    <x v="0"/>
    <s v="Yes"/>
    <x v="1"/>
    <x v="3"/>
  </r>
  <r>
    <s v="P0451"/>
    <d v="2025-08-17T00:00:00"/>
    <x v="6"/>
    <x v="8"/>
    <x v="3"/>
    <x v="0"/>
    <n v="5"/>
    <n v="2087"/>
    <n v="684000"/>
    <n v="327.74317201724966"/>
    <x v="2"/>
    <s v="No"/>
    <x v="1"/>
    <x v="1"/>
  </r>
  <r>
    <s v="P0079"/>
    <d v="2025-06-11T00:00:00"/>
    <x v="3"/>
    <x v="4"/>
    <x v="0"/>
    <x v="1"/>
    <n v="4"/>
    <n v="2068"/>
    <n v="1207800"/>
    <n v="584.04255319148933"/>
    <x v="1"/>
    <s v="No"/>
    <x v="0"/>
    <x v="4"/>
  </r>
  <r>
    <s v="P0313"/>
    <d v="2025-05-31T00:00:00"/>
    <x v="2"/>
    <x v="17"/>
    <x v="3"/>
    <x v="1"/>
    <n v="3"/>
    <n v="2031"/>
    <n v="1655500"/>
    <n v="815.11570654849822"/>
    <x v="2"/>
    <s v="Yes"/>
    <x v="1"/>
    <x v="5"/>
  </r>
  <r>
    <s v="P0094"/>
    <d v="2025-06-04T00:00:00"/>
    <x v="6"/>
    <x v="20"/>
    <x v="2"/>
    <x v="1"/>
    <n v="4"/>
    <n v="2027"/>
    <n v="640600"/>
    <n v="316.0335471139615"/>
    <x v="2"/>
    <s v="No"/>
    <x v="2"/>
    <x v="5"/>
  </r>
  <r>
    <s v="P0325"/>
    <d v="2025-04-27T00:00:00"/>
    <x v="0"/>
    <x v="0"/>
    <x v="1"/>
    <x v="1"/>
    <n v="4"/>
    <n v="2026"/>
    <n v="1208200"/>
    <n v="596.34748272458046"/>
    <x v="0"/>
    <s v="Yes"/>
    <x v="2"/>
    <x v="3"/>
  </r>
  <r>
    <s v="P0297"/>
    <d v="2025-02-16T00:00:00"/>
    <x v="3"/>
    <x v="15"/>
    <x v="0"/>
    <x v="0"/>
    <n v="5"/>
    <n v="2020"/>
    <n v="1306100"/>
    <n v="646.58415841584156"/>
    <x v="2"/>
    <s v="No"/>
    <x v="1"/>
    <x v="2"/>
  </r>
  <r>
    <s v="P0085"/>
    <d v="2025-10-06T00:00:00"/>
    <x v="0"/>
    <x v="12"/>
    <x v="2"/>
    <x v="0"/>
    <n v="5"/>
    <n v="2011"/>
    <n v="1126200"/>
    <n v="560.01989060169069"/>
    <x v="1"/>
    <s v="No"/>
    <x v="2"/>
    <x v="0"/>
  </r>
  <r>
    <s v="P0398"/>
    <d v="2025-09-15T00:00:00"/>
    <x v="0"/>
    <x v="0"/>
    <x v="1"/>
    <x v="1"/>
    <n v="4"/>
    <n v="2005"/>
    <n v="1076900"/>
    <n v="537.10723192019952"/>
    <x v="2"/>
    <s v="No"/>
    <x v="1"/>
    <x v="1"/>
  </r>
  <r>
    <s v="P0294"/>
    <d v="2025-10-18T00:00:00"/>
    <x v="5"/>
    <x v="9"/>
    <x v="3"/>
    <x v="1"/>
    <n v="4"/>
    <n v="2000"/>
    <n v="1847200"/>
    <n v="923.6"/>
    <x v="2"/>
    <s v="No"/>
    <x v="1"/>
    <x v="0"/>
  </r>
  <r>
    <s v="P0263"/>
    <d v="2025-03-28T00:00:00"/>
    <x v="1"/>
    <x v="1"/>
    <x v="3"/>
    <x v="0"/>
    <n v="5"/>
    <n v="1998"/>
    <n v="943600"/>
    <n v="472.27227227227229"/>
    <x v="1"/>
    <s v="No"/>
    <x v="2"/>
    <x v="3"/>
  </r>
  <r>
    <s v="P0415"/>
    <d v="2025-09-14T00:00:00"/>
    <x v="2"/>
    <x v="18"/>
    <x v="0"/>
    <x v="0"/>
    <n v="5"/>
    <n v="1985"/>
    <n v="1623400"/>
    <n v="817.83375314861462"/>
    <x v="2"/>
    <s v="No"/>
    <x v="0"/>
    <x v="0"/>
  </r>
  <r>
    <s v="P0268"/>
    <d v="2025-10-23T00:00:00"/>
    <x v="3"/>
    <x v="10"/>
    <x v="0"/>
    <x v="0"/>
    <n v="5"/>
    <n v="1978"/>
    <n v="1118800"/>
    <n v="565.62184024266935"/>
    <x v="2"/>
    <s v="No"/>
    <x v="2"/>
    <x v="2"/>
  </r>
  <r>
    <s v="P0436"/>
    <d v="2025-03-01T00:00:00"/>
    <x v="3"/>
    <x v="15"/>
    <x v="1"/>
    <x v="2"/>
    <n v="3"/>
    <n v="1967"/>
    <n v="994000"/>
    <n v="505.33807829181495"/>
    <x v="0"/>
    <s v="No"/>
    <x v="1"/>
    <x v="3"/>
  </r>
  <r>
    <s v="P0076"/>
    <d v="2025-01-14T00:00:00"/>
    <x v="2"/>
    <x v="14"/>
    <x v="2"/>
    <x v="1"/>
    <n v="4"/>
    <n v="1956"/>
    <n v="1499500"/>
    <n v="766.61554192229039"/>
    <x v="2"/>
    <s v="Yes"/>
    <x v="1"/>
    <x v="3"/>
  </r>
  <r>
    <s v="P0352"/>
    <d v="2025-02-22T00:00:00"/>
    <x v="5"/>
    <x v="23"/>
    <x v="3"/>
    <x v="1"/>
    <n v="4"/>
    <n v="1953"/>
    <n v="1932200"/>
    <n v="989.34971838197646"/>
    <x v="1"/>
    <s v="No"/>
    <x v="0"/>
    <x v="5"/>
  </r>
  <r>
    <s v="P0031"/>
    <d v="2025-03-08T00:00:00"/>
    <x v="6"/>
    <x v="15"/>
    <x v="1"/>
    <x v="1"/>
    <n v="4"/>
    <n v="1949"/>
    <n v="567200"/>
    <n v="291.02103642893792"/>
    <x v="0"/>
    <s v="No"/>
    <x v="0"/>
    <x v="2"/>
  </r>
  <r>
    <s v="P0274"/>
    <d v="2025-09-29T00:00:00"/>
    <x v="1"/>
    <x v="11"/>
    <x v="3"/>
    <x v="1"/>
    <n v="3"/>
    <n v="1934"/>
    <n v="805800"/>
    <n v="416.64943123061016"/>
    <x v="0"/>
    <s v="Yes"/>
    <x v="1"/>
    <x v="2"/>
  </r>
  <r>
    <s v="P0418"/>
    <d v="2025-10-21T00:00:00"/>
    <x v="2"/>
    <x v="2"/>
    <x v="3"/>
    <x v="1"/>
    <n v="3"/>
    <n v="1931"/>
    <n v="1300100"/>
    <n v="673.27809425168311"/>
    <x v="2"/>
    <s v="Yes"/>
    <x v="0"/>
    <x v="6"/>
  </r>
  <r>
    <s v="P0071"/>
    <d v="2025-04-17T00:00:00"/>
    <x v="6"/>
    <x v="21"/>
    <x v="0"/>
    <x v="2"/>
    <n v="2"/>
    <n v="1923"/>
    <n v="585900"/>
    <n v="304.6801872074883"/>
    <x v="0"/>
    <s v="Yes"/>
    <x v="2"/>
    <x v="2"/>
  </r>
  <r>
    <s v="P0465"/>
    <d v="2025-06-25T00:00:00"/>
    <x v="6"/>
    <x v="8"/>
    <x v="2"/>
    <x v="1"/>
    <n v="4"/>
    <n v="1921"/>
    <n v="613100"/>
    <n v="319.15668922436231"/>
    <x v="1"/>
    <s v="No"/>
    <x v="2"/>
    <x v="1"/>
  </r>
  <r>
    <s v="P0291"/>
    <d v="2025-07-29T00:00:00"/>
    <x v="2"/>
    <x v="18"/>
    <x v="3"/>
    <x v="1"/>
    <n v="3"/>
    <n v="1916"/>
    <n v="1277200"/>
    <n v="666.59707724425891"/>
    <x v="2"/>
    <s v="Yes"/>
    <x v="1"/>
    <x v="1"/>
  </r>
  <r>
    <s v="P0001"/>
    <d v="2025-10-07T00:00:00"/>
    <x v="0"/>
    <x v="0"/>
    <x v="1"/>
    <x v="1"/>
    <n v="4"/>
    <n v="1906"/>
    <n v="951500"/>
    <n v="499.21301154249738"/>
    <x v="2"/>
    <s v="No"/>
    <x v="0"/>
    <x v="5"/>
  </r>
  <r>
    <s v="P0354"/>
    <d v="2025-04-25T00:00:00"/>
    <x v="4"/>
    <x v="22"/>
    <x v="3"/>
    <x v="0"/>
    <n v="5"/>
    <n v="1899"/>
    <n v="1180000"/>
    <n v="621.37967351237489"/>
    <x v="0"/>
    <s v="Yes"/>
    <x v="0"/>
    <x v="2"/>
  </r>
  <r>
    <s v="P0008"/>
    <d v="2025-10-18T00:00:00"/>
    <x v="4"/>
    <x v="16"/>
    <x v="0"/>
    <x v="2"/>
    <n v="3"/>
    <n v="1899"/>
    <n v="1241300"/>
    <n v="653.65982095839911"/>
    <x v="0"/>
    <s v="No"/>
    <x v="0"/>
    <x v="2"/>
  </r>
  <r>
    <s v="P0344"/>
    <d v="2025-10-01T00:00:00"/>
    <x v="2"/>
    <x v="2"/>
    <x v="0"/>
    <x v="1"/>
    <n v="3"/>
    <n v="1895"/>
    <n v="1396600"/>
    <n v="736.99208443271766"/>
    <x v="0"/>
    <s v="No"/>
    <x v="1"/>
    <x v="1"/>
  </r>
  <r>
    <s v="P0399"/>
    <d v="2025-03-22T00:00:00"/>
    <x v="2"/>
    <x v="14"/>
    <x v="0"/>
    <x v="0"/>
    <n v="5"/>
    <n v="1885"/>
    <n v="1312800"/>
    <n v="696.44562334217505"/>
    <x v="0"/>
    <s v="Yes"/>
    <x v="0"/>
    <x v="2"/>
  </r>
  <r>
    <s v="P0146"/>
    <d v="2025-07-17T00:00:00"/>
    <x v="5"/>
    <x v="24"/>
    <x v="1"/>
    <x v="2"/>
    <n v="2"/>
    <n v="1872"/>
    <n v="1744600"/>
    <n v="931.94444444444446"/>
    <x v="2"/>
    <s v="No"/>
    <x v="0"/>
    <x v="5"/>
  </r>
  <r>
    <s v="P0102"/>
    <d v="2025-03-01T00:00:00"/>
    <x v="0"/>
    <x v="0"/>
    <x v="2"/>
    <x v="1"/>
    <n v="2"/>
    <n v="1839"/>
    <n v="1120700"/>
    <n v="609.40728656878741"/>
    <x v="2"/>
    <s v="Yes"/>
    <x v="0"/>
    <x v="1"/>
  </r>
  <r>
    <s v="P0255"/>
    <d v="2025-07-11T00:00:00"/>
    <x v="4"/>
    <x v="5"/>
    <x v="1"/>
    <x v="1"/>
    <n v="4"/>
    <n v="1802"/>
    <n v="1067700"/>
    <n v="592.50832408435076"/>
    <x v="0"/>
    <s v="Yes"/>
    <x v="1"/>
    <x v="4"/>
  </r>
  <r>
    <s v="P0489"/>
    <d v="2025-12-20T00:00:00"/>
    <x v="5"/>
    <x v="24"/>
    <x v="3"/>
    <x v="1"/>
    <n v="4"/>
    <n v="1799"/>
    <n v="1710400"/>
    <n v="950.75041689827685"/>
    <x v="0"/>
    <s v="Yes"/>
    <x v="1"/>
    <x v="2"/>
  </r>
  <r>
    <s v="P0275"/>
    <d v="2025-12-18T00:00:00"/>
    <x v="1"/>
    <x v="11"/>
    <x v="0"/>
    <x v="1"/>
    <n v="4"/>
    <n v="1764"/>
    <n v="822500"/>
    <n v="466.26984126984127"/>
    <x v="1"/>
    <s v="Yes"/>
    <x v="0"/>
    <x v="5"/>
  </r>
  <r>
    <s v="P0188"/>
    <d v="2025-12-20T00:00:00"/>
    <x v="6"/>
    <x v="8"/>
    <x v="0"/>
    <x v="0"/>
    <n v="5"/>
    <n v="1763"/>
    <n v="634000"/>
    <n v="359.61429381735678"/>
    <x v="0"/>
    <s v="No"/>
    <x v="2"/>
    <x v="4"/>
  </r>
  <r>
    <s v="P0442"/>
    <d v="2025-06-11T00:00:00"/>
    <x v="3"/>
    <x v="15"/>
    <x v="1"/>
    <x v="0"/>
    <n v="5"/>
    <n v="1762"/>
    <n v="898100"/>
    <n v="509.70488081725313"/>
    <x v="1"/>
    <s v="No"/>
    <x v="2"/>
    <x v="0"/>
  </r>
  <r>
    <s v="P0483"/>
    <d v="2025-10-09T00:00:00"/>
    <x v="4"/>
    <x v="5"/>
    <x v="2"/>
    <x v="1"/>
    <n v="3"/>
    <n v="1756"/>
    <n v="1311100"/>
    <n v="746.64009111617315"/>
    <x v="1"/>
    <s v="No"/>
    <x v="1"/>
    <x v="0"/>
  </r>
  <r>
    <s v="P0486"/>
    <d v="2025-06-04T00:00:00"/>
    <x v="5"/>
    <x v="9"/>
    <x v="0"/>
    <x v="2"/>
    <n v="3"/>
    <n v="1753"/>
    <n v="1902000"/>
    <n v="1084.99714774672"/>
    <x v="2"/>
    <s v="No"/>
    <x v="0"/>
    <x v="6"/>
  </r>
  <r>
    <s v="P0486"/>
    <d v="2025-06-04T00:00:00"/>
    <x v="5"/>
    <x v="9"/>
    <x v="0"/>
    <x v="2"/>
    <n v="3"/>
    <n v="1753"/>
    <n v="1902000"/>
    <n v="1084.99714774672"/>
    <x v="2"/>
    <s v="No"/>
    <x v="0"/>
    <x v="6"/>
  </r>
  <r>
    <s v="P0419"/>
    <d v="2025-08-18T00:00:00"/>
    <x v="1"/>
    <x v="11"/>
    <x v="1"/>
    <x v="1"/>
    <n v="3"/>
    <n v="1752"/>
    <n v="664600"/>
    <n v="379.33789954337902"/>
    <x v="0"/>
    <s v="No"/>
    <x v="2"/>
    <x v="0"/>
  </r>
  <r>
    <s v="P0346"/>
    <d v="2025-04-25T00:00:00"/>
    <x v="4"/>
    <x v="22"/>
    <x v="0"/>
    <x v="1"/>
    <n v="4"/>
    <n v="1748"/>
    <n v="1196200"/>
    <n v="684.32494279176206"/>
    <x v="0"/>
    <s v="No"/>
    <x v="2"/>
    <x v="1"/>
  </r>
  <r>
    <s v="P0039"/>
    <d v="2025-01-23T00:00:00"/>
    <x v="6"/>
    <x v="20"/>
    <x v="2"/>
    <x v="2"/>
    <n v="2"/>
    <n v="1739"/>
    <n v="510200"/>
    <n v="293.38700402530191"/>
    <x v="0"/>
    <s v="No"/>
    <x v="0"/>
    <x v="3"/>
  </r>
  <r>
    <s v="P0474"/>
    <d v="2025-08-28T00:00:00"/>
    <x v="3"/>
    <x v="3"/>
    <x v="3"/>
    <x v="2"/>
    <n v="3"/>
    <n v="1739"/>
    <n v="944800"/>
    <n v="543.30074755606665"/>
    <x v="1"/>
    <s v="Yes"/>
    <x v="0"/>
    <x v="3"/>
  </r>
  <r>
    <s v="P0409"/>
    <d v="2025-05-29T00:00:00"/>
    <x v="5"/>
    <x v="6"/>
    <x v="2"/>
    <x v="1"/>
    <n v="4"/>
    <n v="1738"/>
    <n v="1887000"/>
    <n v="1085.7307249712312"/>
    <x v="2"/>
    <s v="No"/>
    <x v="1"/>
    <x v="3"/>
  </r>
  <r>
    <s v="P0152"/>
    <d v="2025-02-04T00:00:00"/>
    <x v="3"/>
    <x v="10"/>
    <x v="0"/>
    <x v="1"/>
    <n v="4"/>
    <n v="1735"/>
    <n v="986600"/>
    <n v="568.64553314121042"/>
    <x v="1"/>
    <s v="Yes"/>
    <x v="1"/>
    <x v="2"/>
  </r>
  <r>
    <s v="P0023"/>
    <d v="2025-12-23T00:00:00"/>
    <x v="1"/>
    <x v="11"/>
    <x v="1"/>
    <x v="2"/>
    <n v="3"/>
    <n v="1731"/>
    <n v="695800"/>
    <n v="401.9641825534373"/>
    <x v="0"/>
    <s v="No"/>
    <x v="0"/>
    <x v="0"/>
  </r>
  <r>
    <s v="P0133"/>
    <d v="2025-10-20T00:00:00"/>
    <x v="2"/>
    <x v="18"/>
    <x v="2"/>
    <x v="2"/>
    <n v="2"/>
    <n v="1731"/>
    <n v="1133700"/>
    <n v="654.93934142114381"/>
    <x v="0"/>
    <s v="Yes"/>
    <x v="2"/>
    <x v="3"/>
  </r>
  <r>
    <s v="P0207"/>
    <d v="2025-12-16T00:00:00"/>
    <x v="0"/>
    <x v="13"/>
    <x v="0"/>
    <x v="2"/>
    <n v="3"/>
    <n v="1711"/>
    <n v="1034400"/>
    <n v="604.55873758036239"/>
    <x v="0"/>
    <s v="Yes"/>
    <x v="1"/>
    <x v="1"/>
  </r>
  <r>
    <s v="P0379"/>
    <d v="2025-06-25T00:00:00"/>
    <x v="2"/>
    <x v="17"/>
    <x v="2"/>
    <x v="2"/>
    <n v="2"/>
    <n v="1705"/>
    <n v="1195400"/>
    <n v="701.11436950146629"/>
    <x v="1"/>
    <s v="No"/>
    <x v="0"/>
    <x v="0"/>
  </r>
  <r>
    <s v="P0357"/>
    <d v="2025-12-06T00:00:00"/>
    <x v="3"/>
    <x v="3"/>
    <x v="3"/>
    <x v="1"/>
    <n v="3"/>
    <n v="1702"/>
    <n v="1011900"/>
    <n v="594.53584018801405"/>
    <x v="0"/>
    <s v="No"/>
    <x v="1"/>
    <x v="3"/>
  </r>
  <r>
    <s v="P0227"/>
    <d v="2025-11-29T00:00:00"/>
    <x v="3"/>
    <x v="4"/>
    <x v="3"/>
    <x v="1"/>
    <n v="4"/>
    <n v="1701"/>
    <n v="861400"/>
    <n v="506.40799529688417"/>
    <x v="2"/>
    <s v="Yes"/>
    <x v="2"/>
    <x v="4"/>
  </r>
  <r>
    <s v="P0386"/>
    <d v="2025-11-21T00:00:00"/>
    <x v="5"/>
    <x v="6"/>
    <x v="3"/>
    <x v="2"/>
    <n v="3"/>
    <n v="1699"/>
    <n v="1924600"/>
    <n v="1132.7839905826957"/>
    <x v="0"/>
    <s v="No"/>
    <x v="1"/>
    <x v="3"/>
  </r>
  <r>
    <s v="P0040"/>
    <d v="2025-06-19T00:00:00"/>
    <x v="4"/>
    <x v="22"/>
    <x v="0"/>
    <x v="2"/>
    <n v="3"/>
    <n v="1696"/>
    <n v="1402800"/>
    <n v="827.12264150943395"/>
    <x v="0"/>
    <s v="No"/>
    <x v="1"/>
    <x v="5"/>
  </r>
  <r>
    <s v="P0324"/>
    <d v="2025-05-18T00:00:00"/>
    <x v="5"/>
    <x v="6"/>
    <x v="2"/>
    <x v="2"/>
    <n v="3"/>
    <n v="1696"/>
    <n v="1592100"/>
    <n v="938.73820754716985"/>
    <x v="0"/>
    <s v="Yes"/>
    <x v="0"/>
    <x v="2"/>
  </r>
  <r>
    <s v="P0142"/>
    <d v="2025-08-18T00:00:00"/>
    <x v="6"/>
    <x v="8"/>
    <x v="2"/>
    <x v="2"/>
    <n v="3"/>
    <n v="1688"/>
    <n v="575900"/>
    <n v="341.17298578199052"/>
    <x v="2"/>
    <s v="No"/>
    <x v="2"/>
    <x v="4"/>
  </r>
  <r>
    <s v="P0491"/>
    <d v="2025-10-04T00:00:00"/>
    <x v="4"/>
    <x v="22"/>
    <x v="1"/>
    <x v="1"/>
    <n v="3"/>
    <n v="1684"/>
    <n v="975400"/>
    <n v="579.21615201900238"/>
    <x v="0"/>
    <s v="Yes"/>
    <x v="2"/>
    <x v="3"/>
  </r>
  <r>
    <s v="P0378"/>
    <d v="2025-03-07T00:00:00"/>
    <x v="4"/>
    <x v="15"/>
    <x v="3"/>
    <x v="1"/>
    <n v="3"/>
    <n v="1684"/>
    <n v="1095700"/>
    <n v="650.65320665083141"/>
    <x v="2"/>
    <s v="No"/>
    <x v="1"/>
    <x v="3"/>
  </r>
  <r>
    <s v="P0042"/>
    <d v="2025-04-18T00:00:00"/>
    <x v="1"/>
    <x v="7"/>
    <x v="2"/>
    <x v="2"/>
    <n v="3"/>
    <n v="1683"/>
    <n v="714000"/>
    <n v="424.24242424242425"/>
    <x v="1"/>
    <s v="No"/>
    <x v="2"/>
    <x v="4"/>
  </r>
  <r>
    <s v="P0194"/>
    <d v="2025-01-19T00:00:00"/>
    <x v="0"/>
    <x v="0"/>
    <x v="3"/>
    <x v="2"/>
    <n v="3"/>
    <n v="1665"/>
    <n v="1119700"/>
    <n v="672.49249249249249"/>
    <x v="1"/>
    <s v="No"/>
    <x v="0"/>
    <x v="2"/>
  </r>
  <r>
    <s v="P0041"/>
    <d v="2025-04-09T00:00:00"/>
    <x v="0"/>
    <x v="12"/>
    <x v="0"/>
    <x v="1"/>
    <n v="4"/>
    <n v="1656"/>
    <n v="1050400"/>
    <n v="634.29951690821258"/>
    <x v="1"/>
    <s v="No"/>
    <x v="1"/>
    <x v="2"/>
  </r>
  <r>
    <s v="P0273"/>
    <d v="2025-02-22T00:00:00"/>
    <x v="4"/>
    <x v="16"/>
    <x v="2"/>
    <x v="1"/>
    <n v="2"/>
    <n v="1655"/>
    <n v="1021200"/>
    <n v="617.03927492447133"/>
    <x v="2"/>
    <s v="No"/>
    <x v="2"/>
    <x v="1"/>
  </r>
  <r>
    <s v="P0273"/>
    <d v="2025-02-22T00:00:00"/>
    <x v="4"/>
    <x v="16"/>
    <x v="2"/>
    <x v="1"/>
    <n v="2"/>
    <n v="1655"/>
    <n v="1021200"/>
    <n v="617.03927492447133"/>
    <x v="2"/>
    <s v="No"/>
    <x v="2"/>
    <x v="1"/>
  </r>
  <r>
    <s v="P0215"/>
    <d v="2025-05-05T00:00:00"/>
    <x v="1"/>
    <x v="11"/>
    <x v="1"/>
    <x v="2"/>
    <n v="3"/>
    <n v="1653"/>
    <n v="636100"/>
    <n v="384.81548699334542"/>
    <x v="1"/>
    <s v="Yes"/>
    <x v="2"/>
    <x v="2"/>
  </r>
  <r>
    <s v="P0376"/>
    <d v="2025-02-25T00:00:00"/>
    <x v="4"/>
    <x v="15"/>
    <x v="3"/>
    <x v="2"/>
    <n v="3"/>
    <n v="1648"/>
    <n v="1242000"/>
    <n v="753.64077669902917"/>
    <x v="1"/>
    <s v="Yes"/>
    <x v="1"/>
    <x v="2"/>
  </r>
  <r>
    <s v="P0011"/>
    <d v="2025-01-06T00:00:00"/>
    <x v="2"/>
    <x v="14"/>
    <x v="2"/>
    <x v="2"/>
    <n v="2"/>
    <n v="1648"/>
    <n v="1383500"/>
    <n v="839.502427184466"/>
    <x v="0"/>
    <s v="Yes"/>
    <x v="1"/>
    <x v="3"/>
  </r>
  <r>
    <s v="P0045"/>
    <d v="2025-12-19T00:00:00"/>
    <x v="3"/>
    <x v="4"/>
    <x v="3"/>
    <x v="1"/>
    <n v="3"/>
    <n v="1642"/>
    <n v="848200"/>
    <n v="516.5651644336175"/>
    <x v="2"/>
    <s v="Yes"/>
    <x v="2"/>
    <x v="0"/>
  </r>
  <r>
    <s v="P0065"/>
    <d v="2025-05-09T00:00:00"/>
    <x v="2"/>
    <x v="17"/>
    <x v="2"/>
    <x v="1"/>
    <n v="3"/>
    <n v="1641"/>
    <n v="1149600"/>
    <n v="700.54844606946983"/>
    <x v="2"/>
    <s v="Yes"/>
    <x v="1"/>
    <x v="0"/>
  </r>
  <r>
    <s v="P0187"/>
    <d v="2025-09-05T00:00:00"/>
    <x v="3"/>
    <x v="10"/>
    <x v="0"/>
    <x v="1"/>
    <n v="3"/>
    <n v="1639"/>
    <n v="908100"/>
    <n v="554.0573520439292"/>
    <x v="2"/>
    <s v="Yes"/>
    <x v="2"/>
    <x v="3"/>
  </r>
  <r>
    <s v="P0468"/>
    <d v="2025-06-09T00:00:00"/>
    <x v="4"/>
    <x v="0"/>
    <x v="3"/>
    <x v="2"/>
    <n v="3"/>
    <n v="1638"/>
    <n v="1035200"/>
    <n v="631.99023199023202"/>
    <x v="1"/>
    <s v="Yes"/>
    <x v="1"/>
    <x v="2"/>
  </r>
  <r>
    <s v="P0083"/>
    <d v="2025-08-30T00:00:00"/>
    <x v="5"/>
    <x v="23"/>
    <x v="2"/>
    <x v="1"/>
    <n v="4"/>
    <n v="1627"/>
    <n v="1793900"/>
    <n v="1102.5814382298709"/>
    <x v="2"/>
    <s v="No"/>
    <x v="1"/>
    <x v="0"/>
  </r>
  <r>
    <s v="P0434"/>
    <d v="2025-02-05T00:00:00"/>
    <x v="3"/>
    <x v="4"/>
    <x v="3"/>
    <x v="2"/>
    <n v="3"/>
    <n v="1623"/>
    <n v="983500"/>
    <n v="605.9765865680838"/>
    <x v="2"/>
    <s v="No"/>
    <x v="1"/>
    <x v="3"/>
  </r>
  <r>
    <s v="P0120"/>
    <d v="2025-02-16T00:00:00"/>
    <x v="3"/>
    <x v="15"/>
    <x v="3"/>
    <x v="1"/>
    <n v="3"/>
    <n v="1618"/>
    <n v="1038100"/>
    <n v="641.59456118665014"/>
    <x v="0"/>
    <s v="Yes"/>
    <x v="2"/>
    <x v="4"/>
  </r>
  <r>
    <s v="P0098"/>
    <d v="2025-03-09T00:00:00"/>
    <x v="5"/>
    <x v="6"/>
    <x v="0"/>
    <x v="1"/>
    <n v="4"/>
    <n v="1618"/>
    <n v="1596600"/>
    <n v="986.77379480840546"/>
    <x v="0"/>
    <s v="No"/>
    <x v="1"/>
    <x v="3"/>
  </r>
  <r>
    <s v="P0139"/>
    <d v="2025-04-03T00:00:00"/>
    <x v="0"/>
    <x v="22"/>
    <x v="1"/>
    <x v="1"/>
    <n v="3"/>
    <n v="1612"/>
    <n v="1024600"/>
    <n v="635.6079404466501"/>
    <x v="2"/>
    <s v="No"/>
    <x v="2"/>
    <x v="0"/>
  </r>
  <r>
    <s v="P0330"/>
    <d v="2025-11-08T00:00:00"/>
    <x v="6"/>
    <x v="21"/>
    <x v="0"/>
    <x v="2"/>
    <n v="2"/>
    <n v="1609"/>
    <n v="546600"/>
    <n v="339.71410814170292"/>
    <x v="1"/>
    <s v="Yes"/>
    <x v="0"/>
    <x v="1"/>
  </r>
  <r>
    <s v="P0126"/>
    <d v="2025-10-22T00:00:00"/>
    <x v="5"/>
    <x v="24"/>
    <x v="1"/>
    <x v="2"/>
    <n v="3"/>
    <n v="1609"/>
    <n v="1700900"/>
    <n v="1057.1162212554382"/>
    <x v="1"/>
    <s v="No"/>
    <x v="1"/>
    <x v="2"/>
  </r>
  <r>
    <s v="P0380"/>
    <d v="2025-11-20T00:00:00"/>
    <x v="3"/>
    <x v="10"/>
    <x v="0"/>
    <x v="1"/>
    <n v="3"/>
    <n v="1607"/>
    <n v="1060000"/>
    <n v="659.61418792781581"/>
    <x v="2"/>
    <s v="Yes"/>
    <x v="0"/>
    <x v="3"/>
  </r>
  <r>
    <s v="P0028"/>
    <d v="2025-06-28T00:00:00"/>
    <x v="5"/>
    <x v="9"/>
    <x v="3"/>
    <x v="2"/>
    <n v="3"/>
    <n v="1606"/>
    <n v="1509000"/>
    <n v="939.60149439601491"/>
    <x v="2"/>
    <s v="Yes"/>
    <x v="2"/>
    <x v="1"/>
  </r>
  <r>
    <s v="P0132"/>
    <d v="2025-07-08T00:00:00"/>
    <x v="6"/>
    <x v="15"/>
    <x v="0"/>
    <x v="2"/>
    <n v="3"/>
    <n v="1589"/>
    <n v="475300"/>
    <n v="299.11894273127751"/>
    <x v="1"/>
    <s v="No"/>
    <x v="1"/>
    <x v="5"/>
  </r>
  <r>
    <s v="P0246"/>
    <d v="2025-11-27T00:00:00"/>
    <x v="0"/>
    <x v="12"/>
    <x v="3"/>
    <x v="1"/>
    <n v="3"/>
    <n v="1587"/>
    <n v="840800"/>
    <n v="529.80466288594835"/>
    <x v="0"/>
    <s v="No"/>
    <x v="2"/>
    <x v="4"/>
  </r>
  <r>
    <s v="P0306"/>
    <d v="2025-05-24T00:00:00"/>
    <x v="1"/>
    <x v="19"/>
    <x v="0"/>
    <x v="2"/>
    <n v="3"/>
    <n v="1585"/>
    <n v="662000"/>
    <n v="417.66561514195581"/>
    <x v="2"/>
    <s v="No"/>
    <x v="1"/>
    <x v="1"/>
  </r>
  <r>
    <s v="P0433"/>
    <d v="2025-02-14T00:00:00"/>
    <x v="4"/>
    <x v="22"/>
    <x v="3"/>
    <x v="1"/>
    <n v="4"/>
    <n v="1582"/>
    <n v="1269800"/>
    <n v="802.6548672566372"/>
    <x v="1"/>
    <s v="No"/>
    <x v="2"/>
    <x v="2"/>
  </r>
  <r>
    <s v="P0286"/>
    <d v="2025-03-22T00:00:00"/>
    <x v="2"/>
    <x v="17"/>
    <x v="1"/>
    <x v="2"/>
    <n v="2"/>
    <n v="1571"/>
    <n v="1017300"/>
    <n v="647.54933163590067"/>
    <x v="1"/>
    <s v="Yes"/>
    <x v="1"/>
    <x v="2"/>
  </r>
  <r>
    <s v="P0286"/>
    <d v="2025-03-22T00:00:00"/>
    <x v="2"/>
    <x v="17"/>
    <x v="1"/>
    <x v="2"/>
    <n v="2"/>
    <n v="1571"/>
    <n v="1017300"/>
    <n v="647.54933163590067"/>
    <x v="1"/>
    <s v="Yes"/>
    <x v="1"/>
    <x v="2"/>
  </r>
  <r>
    <s v="P0421"/>
    <d v="2025-01-09T00:00:00"/>
    <x v="0"/>
    <x v="12"/>
    <x v="2"/>
    <x v="2"/>
    <n v="2"/>
    <n v="1565"/>
    <n v="827600"/>
    <n v="528.8178913738019"/>
    <x v="2"/>
    <s v="No"/>
    <x v="0"/>
    <x v="3"/>
  </r>
  <r>
    <s v="P0213"/>
    <d v="2025-07-15T00:00:00"/>
    <x v="5"/>
    <x v="23"/>
    <x v="2"/>
    <x v="2"/>
    <n v="3"/>
    <n v="1563"/>
    <n v="1642800"/>
    <n v="1051.0556621880999"/>
    <x v="0"/>
    <s v="No"/>
    <x v="1"/>
    <x v="4"/>
  </r>
  <r>
    <s v="P0095"/>
    <d v="2025-12-04T00:00:00"/>
    <x v="1"/>
    <x v="11"/>
    <x v="0"/>
    <x v="2"/>
    <n v="3"/>
    <n v="1553"/>
    <n v="835800"/>
    <n v="538.18415969092075"/>
    <x v="1"/>
    <s v="No"/>
    <x v="0"/>
    <x v="3"/>
  </r>
  <r>
    <s v="P0254"/>
    <d v="2025-08-23T00:00:00"/>
    <x v="6"/>
    <x v="21"/>
    <x v="2"/>
    <x v="2"/>
    <n v="3"/>
    <n v="1549"/>
    <n v="475200"/>
    <n v="306.77856681730151"/>
    <x v="0"/>
    <s v="Yes"/>
    <x v="1"/>
    <x v="2"/>
  </r>
  <r>
    <s v="P0267"/>
    <d v="2025-10-01T00:00:00"/>
    <x v="6"/>
    <x v="15"/>
    <x v="1"/>
    <x v="1"/>
    <n v="4"/>
    <n v="1549"/>
    <n v="515600"/>
    <n v="332.85990961910909"/>
    <x v="1"/>
    <s v="Yes"/>
    <x v="2"/>
    <x v="0"/>
  </r>
  <r>
    <s v="P0047"/>
    <d v="2025-08-17T00:00:00"/>
    <x v="2"/>
    <x v="17"/>
    <x v="2"/>
    <x v="2"/>
    <n v="2"/>
    <n v="1549"/>
    <n v="1280700"/>
    <n v="826.79147837314395"/>
    <x v="2"/>
    <s v="No"/>
    <x v="2"/>
    <x v="1"/>
  </r>
  <r>
    <s v="P0329"/>
    <d v="2025-02-21T00:00:00"/>
    <x v="2"/>
    <x v="18"/>
    <x v="1"/>
    <x v="2"/>
    <n v="3"/>
    <n v="1543"/>
    <n v="1171700"/>
    <n v="759.36487362281275"/>
    <x v="2"/>
    <s v="Yes"/>
    <x v="2"/>
    <x v="3"/>
  </r>
  <r>
    <s v="P0051"/>
    <d v="2025-08-03T00:00:00"/>
    <x v="0"/>
    <x v="0"/>
    <x v="2"/>
    <x v="2"/>
    <n v="3"/>
    <n v="1541"/>
    <n v="876800"/>
    <n v="568.98118105126537"/>
    <x v="0"/>
    <s v="Yes"/>
    <x v="2"/>
    <x v="0"/>
  </r>
  <r>
    <s v="P0116"/>
    <d v="2025-08-05T00:00:00"/>
    <x v="5"/>
    <x v="6"/>
    <x v="1"/>
    <x v="2"/>
    <n v="3"/>
    <n v="1537"/>
    <n v="1629300"/>
    <n v="1060.0520494469747"/>
    <x v="0"/>
    <s v="Yes"/>
    <x v="2"/>
    <x v="6"/>
  </r>
  <r>
    <s v="P0328"/>
    <d v="2025-06-16T00:00:00"/>
    <x v="6"/>
    <x v="15"/>
    <x v="1"/>
    <x v="2"/>
    <n v="2"/>
    <n v="1531"/>
    <n v="453500"/>
    <n v="296.21162638798171"/>
    <x v="1"/>
    <s v="No"/>
    <x v="0"/>
    <x v="2"/>
  </r>
  <r>
    <s v="P0110"/>
    <d v="2025-01-23T00:00:00"/>
    <x v="2"/>
    <x v="14"/>
    <x v="2"/>
    <x v="2"/>
    <n v="3"/>
    <n v="1531"/>
    <n v="1277500"/>
    <n v="834.42194644023516"/>
    <x v="0"/>
    <s v="No"/>
    <x v="2"/>
    <x v="2"/>
  </r>
  <r>
    <s v="P0390"/>
    <d v="2025-09-24T00:00:00"/>
    <x v="6"/>
    <x v="15"/>
    <x v="0"/>
    <x v="2"/>
    <n v="3"/>
    <n v="1527"/>
    <n v="584100"/>
    <n v="382.51473477406682"/>
    <x v="2"/>
    <s v="Yes"/>
    <x v="2"/>
    <x v="3"/>
  </r>
  <r>
    <s v="P0058"/>
    <d v="2025-11-04T00:00:00"/>
    <x v="0"/>
    <x v="14"/>
    <x v="1"/>
    <x v="1"/>
    <n v="4"/>
    <n v="1526"/>
    <n v="931300"/>
    <n v="610.28833551769333"/>
    <x v="2"/>
    <s v="Yes"/>
    <x v="2"/>
    <x v="3"/>
  </r>
  <r>
    <s v="P0251"/>
    <d v="2025-04-05T00:00:00"/>
    <x v="2"/>
    <x v="2"/>
    <x v="0"/>
    <x v="2"/>
    <n v="3"/>
    <n v="1520"/>
    <n v="764200"/>
    <n v="502.76315789473682"/>
    <x v="2"/>
    <s v="No"/>
    <x v="2"/>
    <x v="5"/>
  </r>
  <r>
    <s v="P0317"/>
    <d v="2025-09-03T00:00:00"/>
    <x v="3"/>
    <x v="4"/>
    <x v="3"/>
    <x v="2"/>
    <n v="3"/>
    <n v="1516"/>
    <n v="835500"/>
    <n v="551.1213720316623"/>
    <x v="0"/>
    <s v="Yes"/>
    <x v="0"/>
    <x v="4"/>
  </r>
  <r>
    <s v="P0182"/>
    <d v="2025-10-31T00:00:00"/>
    <x v="6"/>
    <x v="8"/>
    <x v="2"/>
    <x v="2"/>
    <n v="2"/>
    <n v="1515"/>
    <n v="528500"/>
    <n v="348.84488448844883"/>
    <x v="0"/>
    <s v="No"/>
    <x v="1"/>
    <x v="3"/>
  </r>
  <r>
    <s v="P0256"/>
    <d v="2025-10-03T00:00:00"/>
    <x v="3"/>
    <x v="3"/>
    <x v="2"/>
    <x v="2"/>
    <n v="3"/>
    <n v="1515"/>
    <n v="836600"/>
    <n v="552.21122112211219"/>
    <x v="0"/>
    <s v="Yes"/>
    <x v="1"/>
    <x v="0"/>
  </r>
  <r>
    <s v="P0369"/>
    <d v="2025-03-26T00:00:00"/>
    <x v="2"/>
    <x v="14"/>
    <x v="1"/>
    <x v="1"/>
    <n v="4"/>
    <n v="1515"/>
    <n v="1075200"/>
    <n v="709.70297029702965"/>
    <x v="2"/>
    <s v="No"/>
    <x v="2"/>
    <x v="0"/>
  </r>
  <r>
    <s v="P0369"/>
    <d v="2025-03-26T00:00:00"/>
    <x v="2"/>
    <x v="14"/>
    <x v="1"/>
    <x v="1"/>
    <n v="4"/>
    <n v="1515"/>
    <n v="1075200"/>
    <n v="709.70297029702965"/>
    <x v="2"/>
    <s v="No"/>
    <x v="2"/>
    <x v="0"/>
  </r>
  <r>
    <s v="P0177"/>
    <d v="2025-01-26T00:00:00"/>
    <x v="5"/>
    <x v="9"/>
    <x v="2"/>
    <x v="2"/>
    <n v="3"/>
    <n v="1515"/>
    <n v="1473900"/>
    <n v="972.87128712871288"/>
    <x v="1"/>
    <s v="No"/>
    <x v="1"/>
    <x v="2"/>
  </r>
  <r>
    <s v="P0046"/>
    <d v="2025-03-04T00:00:00"/>
    <x v="1"/>
    <x v="11"/>
    <x v="1"/>
    <x v="2"/>
    <n v="2"/>
    <n v="1513"/>
    <n v="716600"/>
    <n v="473.62855254461334"/>
    <x v="1"/>
    <s v="Yes"/>
    <x v="2"/>
    <x v="2"/>
  </r>
  <r>
    <s v="P0351"/>
    <d v="2025-01-08T00:00:00"/>
    <x v="3"/>
    <x v="4"/>
    <x v="2"/>
    <x v="2"/>
    <n v="3"/>
    <n v="1507"/>
    <n v="807000"/>
    <n v="535.50099535500999"/>
    <x v="2"/>
    <s v="Yes"/>
    <x v="0"/>
    <x v="2"/>
  </r>
  <r>
    <s v="P0494"/>
    <d v="2025-07-22T00:00:00"/>
    <x v="3"/>
    <x v="3"/>
    <x v="3"/>
    <x v="2"/>
    <n v="2"/>
    <n v="1506"/>
    <n v="789500"/>
    <n v="524.23638778220447"/>
    <x v="0"/>
    <s v="Yes"/>
    <x v="1"/>
    <x v="3"/>
  </r>
  <r>
    <s v="P0258"/>
    <d v="2025-08-16T00:00:00"/>
    <x v="2"/>
    <x v="18"/>
    <x v="2"/>
    <x v="1"/>
    <n v="4"/>
    <n v="1501"/>
    <n v="1094700"/>
    <n v="729.31379080612919"/>
    <x v="1"/>
    <s v="Yes"/>
    <x v="0"/>
    <x v="3"/>
  </r>
  <r>
    <s v="P0282"/>
    <d v="2025-11-29T00:00:00"/>
    <x v="1"/>
    <x v="1"/>
    <x v="0"/>
    <x v="2"/>
    <n v="2"/>
    <n v="1499"/>
    <n v="741300"/>
    <n v="494.52968645763843"/>
    <x v="0"/>
    <s v="Yes"/>
    <x v="2"/>
    <x v="2"/>
  </r>
  <r>
    <s v="P0166"/>
    <d v="2025-10-11T00:00:00"/>
    <x v="4"/>
    <x v="22"/>
    <x v="3"/>
    <x v="0"/>
    <n v="5"/>
    <n v="1499"/>
    <n v="933500"/>
    <n v="622.74849899933292"/>
    <x v="0"/>
    <s v="No"/>
    <x v="2"/>
    <x v="3"/>
  </r>
  <r>
    <s v="P0407"/>
    <d v="2025-03-13T00:00:00"/>
    <x v="4"/>
    <x v="5"/>
    <x v="2"/>
    <x v="2"/>
    <n v="3"/>
    <n v="1499"/>
    <n v="1132800"/>
    <n v="755.70380253502333"/>
    <x v="0"/>
    <s v="Yes"/>
    <x v="2"/>
    <x v="2"/>
  </r>
  <r>
    <s v="P0450"/>
    <d v="2025-05-12T00:00:00"/>
    <x v="6"/>
    <x v="20"/>
    <x v="0"/>
    <x v="2"/>
    <n v="2"/>
    <n v="1494"/>
    <n v="568000"/>
    <n v="380.18741633199465"/>
    <x v="1"/>
    <s v="No"/>
    <x v="2"/>
    <x v="5"/>
  </r>
  <r>
    <s v="P0161"/>
    <d v="2025-07-09T00:00:00"/>
    <x v="4"/>
    <x v="5"/>
    <x v="0"/>
    <x v="2"/>
    <n v="2"/>
    <n v="1487"/>
    <n v="1084100"/>
    <n v="729.05178211163411"/>
    <x v="1"/>
    <s v="No"/>
    <x v="0"/>
    <x v="3"/>
  </r>
  <r>
    <s v="P0002"/>
    <d v="2025-04-12T00:00:00"/>
    <x v="5"/>
    <x v="23"/>
    <x v="3"/>
    <x v="2"/>
    <n v="2"/>
    <n v="1483"/>
    <n v="1349900"/>
    <n v="910.24949426837486"/>
    <x v="0"/>
    <s v="No"/>
    <x v="0"/>
    <x v="4"/>
  </r>
  <r>
    <s v="P0410"/>
    <d v="2025-11-11T00:00:00"/>
    <x v="5"/>
    <x v="24"/>
    <x v="0"/>
    <x v="2"/>
    <n v="3"/>
    <n v="1478"/>
    <n v="1665300"/>
    <n v="1126.725304465494"/>
    <x v="0"/>
    <s v="Yes"/>
    <x v="1"/>
    <x v="0"/>
  </r>
  <r>
    <s v="P0430"/>
    <d v="2025-02-16T00:00:00"/>
    <x v="2"/>
    <x v="14"/>
    <x v="3"/>
    <x v="2"/>
    <n v="2"/>
    <n v="1474"/>
    <n v="982200"/>
    <n v="666.3500678426052"/>
    <x v="2"/>
    <s v="No"/>
    <x v="1"/>
    <x v="4"/>
  </r>
  <r>
    <s v="P0172"/>
    <d v="2025-11-25T00:00:00"/>
    <x v="4"/>
    <x v="15"/>
    <x v="1"/>
    <x v="2"/>
    <n v="2"/>
    <n v="1474"/>
    <n v="984300"/>
    <n v="667.77476255088197"/>
    <x v="1"/>
    <s v="No"/>
    <x v="0"/>
    <x v="2"/>
  </r>
  <r>
    <s v="P0422"/>
    <d v="2025-09-30T00:00:00"/>
    <x v="5"/>
    <x v="23"/>
    <x v="2"/>
    <x v="2"/>
    <n v="2"/>
    <n v="1449"/>
    <n v="1287200"/>
    <n v="888.3367839889579"/>
    <x v="0"/>
    <s v="Yes"/>
    <x v="0"/>
    <x v="4"/>
  </r>
  <r>
    <s v="P0485"/>
    <d v="2025-05-11T00:00:00"/>
    <x v="4"/>
    <x v="5"/>
    <x v="3"/>
    <x v="2"/>
    <n v="2"/>
    <n v="1443"/>
    <n v="1144700"/>
    <n v="793.27789327789333"/>
    <x v="1"/>
    <s v="No"/>
    <x v="2"/>
    <x v="4"/>
  </r>
  <r>
    <s v="P0186"/>
    <d v="2025-09-02T00:00:00"/>
    <x v="5"/>
    <x v="23"/>
    <x v="3"/>
    <x v="2"/>
    <n v="3"/>
    <n v="1441"/>
    <n v="1699500"/>
    <n v="1179.3893129770993"/>
    <x v="0"/>
    <s v="No"/>
    <x v="2"/>
    <x v="0"/>
  </r>
  <r>
    <s v="P0350"/>
    <d v="2025-02-15T00:00:00"/>
    <x v="6"/>
    <x v="8"/>
    <x v="3"/>
    <x v="2"/>
    <n v="3"/>
    <n v="1440"/>
    <n v="472200"/>
    <n v="327.91666666666669"/>
    <x v="2"/>
    <s v="No"/>
    <x v="1"/>
    <x v="4"/>
  </r>
  <r>
    <s v="P0348"/>
    <d v="2025-03-19T00:00:00"/>
    <x v="5"/>
    <x v="24"/>
    <x v="0"/>
    <x v="2"/>
    <n v="3"/>
    <n v="1439"/>
    <n v="1707400"/>
    <n v="1186.5184155663655"/>
    <x v="2"/>
    <s v="Yes"/>
    <x v="2"/>
    <x v="4"/>
  </r>
  <r>
    <s v="P0117"/>
    <d v="2025-02-25T00:00:00"/>
    <x v="6"/>
    <x v="20"/>
    <x v="1"/>
    <x v="2"/>
    <n v="2"/>
    <n v="1432"/>
    <n v="404100"/>
    <n v="282.1927374301676"/>
    <x v="1"/>
    <s v="No"/>
    <x v="0"/>
    <x v="1"/>
  </r>
  <r>
    <s v="P0482"/>
    <d v="2025-10-13T00:00:00"/>
    <x v="1"/>
    <x v="1"/>
    <x v="3"/>
    <x v="2"/>
    <n v="2"/>
    <n v="1429"/>
    <n v="736200"/>
    <n v="515.18544436669004"/>
    <x v="0"/>
    <s v="No"/>
    <x v="1"/>
    <x v="5"/>
  </r>
  <r>
    <s v="P0383"/>
    <d v="2025-03-24T00:00:00"/>
    <x v="2"/>
    <x v="14"/>
    <x v="1"/>
    <x v="2"/>
    <n v="3"/>
    <n v="1428"/>
    <n v="951700"/>
    <n v="666.45658263305324"/>
    <x v="1"/>
    <s v="No"/>
    <x v="0"/>
    <x v="5"/>
  </r>
  <r>
    <s v="P0105"/>
    <d v="2025-10-06T00:00:00"/>
    <x v="6"/>
    <x v="8"/>
    <x v="2"/>
    <x v="2"/>
    <n v="3"/>
    <n v="1418"/>
    <n v="475800"/>
    <n v="335.54301833568405"/>
    <x v="0"/>
    <s v="No"/>
    <x v="0"/>
    <x v="4"/>
  </r>
  <r>
    <s v="P0214"/>
    <d v="2025-08-31T00:00:00"/>
    <x v="3"/>
    <x v="3"/>
    <x v="0"/>
    <x v="2"/>
    <n v="3"/>
    <n v="1414"/>
    <n v="892400"/>
    <n v="631.11739745403111"/>
    <x v="2"/>
    <s v="Yes"/>
    <x v="2"/>
    <x v="2"/>
  </r>
  <r>
    <s v="P0093"/>
    <d v="2025-08-27T00:00:00"/>
    <x v="1"/>
    <x v="1"/>
    <x v="2"/>
    <x v="1"/>
    <n v="4"/>
    <n v="1409"/>
    <n v="697600"/>
    <n v="495.10290986515258"/>
    <x v="1"/>
    <s v="Yes"/>
    <x v="0"/>
    <x v="4"/>
  </r>
  <r>
    <s v="P0245"/>
    <d v="2025-10-02T00:00:00"/>
    <x v="3"/>
    <x v="4"/>
    <x v="2"/>
    <x v="2"/>
    <n v="3"/>
    <n v="1408"/>
    <n v="862400"/>
    <n v="612.5"/>
    <x v="0"/>
    <s v="Yes"/>
    <x v="0"/>
    <x v="0"/>
  </r>
  <r>
    <s v="P0070"/>
    <d v="2025-11-13T00:00:00"/>
    <x v="5"/>
    <x v="23"/>
    <x v="1"/>
    <x v="2"/>
    <n v="3"/>
    <n v="1405"/>
    <n v="1393100"/>
    <n v="991.53024911032026"/>
    <x v="2"/>
    <s v="No"/>
    <x v="2"/>
    <x v="4"/>
  </r>
  <r>
    <s v="P0025"/>
    <d v="2025-05-01T00:00:00"/>
    <x v="2"/>
    <x v="2"/>
    <x v="1"/>
    <x v="2"/>
    <n v="3"/>
    <n v="1404"/>
    <n v="882900"/>
    <n v="628.84615384615381"/>
    <x v="1"/>
    <s v="Yes"/>
    <x v="1"/>
    <x v="0"/>
  </r>
  <r>
    <s v="P0339"/>
    <d v="2025-12-31T00:00:00"/>
    <x v="6"/>
    <x v="3"/>
    <x v="3"/>
    <x v="2"/>
    <n v="3"/>
    <n v="1404"/>
    <n v="894600"/>
    <n v="637.17948717948718"/>
    <x v="0"/>
    <s v="No"/>
    <x v="2"/>
    <x v="4"/>
  </r>
  <r>
    <s v="P0437"/>
    <d v="2025-08-23T00:00:00"/>
    <x v="3"/>
    <x v="21"/>
    <x v="2"/>
    <x v="2"/>
    <n v="3"/>
    <n v="1401"/>
    <n v="502900"/>
    <n v="358.95788722341183"/>
    <x v="0"/>
    <s v="No"/>
    <x v="1"/>
    <x v="5"/>
  </r>
  <r>
    <s v="P0205"/>
    <d v="2025-10-24T00:00:00"/>
    <x v="5"/>
    <x v="24"/>
    <x v="0"/>
    <x v="1"/>
    <n v="4"/>
    <n v="1400"/>
    <n v="1610800"/>
    <n v="1150.5714285714287"/>
    <x v="2"/>
    <s v="Yes"/>
    <x v="2"/>
    <x v="1"/>
  </r>
  <r>
    <s v="P0429"/>
    <d v="2025-04-20T00:00:00"/>
    <x v="0"/>
    <x v="14"/>
    <x v="1"/>
    <x v="1"/>
    <n v="4"/>
    <n v="1399"/>
    <n v="710700"/>
    <n v="508.00571837026445"/>
    <x v="0"/>
    <s v="No"/>
    <x v="2"/>
    <x v="3"/>
  </r>
  <r>
    <s v="P0016"/>
    <d v="2025-08-13T00:00:00"/>
    <x v="0"/>
    <x v="14"/>
    <x v="0"/>
    <x v="2"/>
    <n v="2"/>
    <n v="1397"/>
    <n v="908300"/>
    <n v="650.17895490336434"/>
    <x v="0"/>
    <s v="No"/>
    <x v="0"/>
    <x v="6"/>
  </r>
  <r>
    <s v="P0266"/>
    <d v="2025-05-23T00:00:00"/>
    <x v="3"/>
    <x v="4"/>
    <x v="1"/>
    <x v="1"/>
    <n v="4"/>
    <n v="1387"/>
    <n v="713100"/>
    <n v="514.13121845710168"/>
    <x v="0"/>
    <s v="No"/>
    <x v="2"/>
    <x v="4"/>
  </r>
  <r>
    <s v="P0432"/>
    <d v="2025-12-03T00:00:00"/>
    <x v="5"/>
    <x v="23"/>
    <x v="2"/>
    <x v="2"/>
    <n v="3"/>
    <n v="1382"/>
    <n v="1288200"/>
    <n v="932.12735166425466"/>
    <x v="0"/>
    <s v="No"/>
    <x v="0"/>
    <x v="5"/>
  </r>
  <r>
    <s v="P0309"/>
    <d v="2025-11-05T00:00:00"/>
    <x v="1"/>
    <x v="1"/>
    <x v="2"/>
    <x v="2"/>
    <n v="3"/>
    <n v="1380"/>
    <n v="544800"/>
    <n v="394.78260869565219"/>
    <x v="2"/>
    <s v="Yes"/>
    <x v="1"/>
    <x v="4"/>
  </r>
  <r>
    <s v="P0338"/>
    <d v="2025-07-29T00:00:00"/>
    <x v="6"/>
    <x v="22"/>
    <x v="3"/>
    <x v="1"/>
    <n v="4"/>
    <n v="1377"/>
    <n v="920900"/>
    <n v="668.77269426289035"/>
    <x v="0"/>
    <s v="Yes"/>
    <x v="1"/>
    <x v="5"/>
  </r>
  <r>
    <s v="P0289"/>
    <d v="2025-08-27T00:00:00"/>
    <x v="5"/>
    <x v="9"/>
    <x v="3"/>
    <x v="3"/>
    <n v="1"/>
    <n v="1371"/>
    <n v="1264000"/>
    <n v="921.95477753464627"/>
    <x v="1"/>
    <s v="No"/>
    <x v="2"/>
    <x v="5"/>
  </r>
  <r>
    <s v="P0077"/>
    <d v="2025-08-15T00:00:00"/>
    <x v="2"/>
    <x v="14"/>
    <x v="0"/>
    <x v="2"/>
    <n v="3"/>
    <n v="1362"/>
    <n v="1089300"/>
    <n v="799.77973568281936"/>
    <x v="1"/>
    <s v="Yes"/>
    <x v="1"/>
    <x v="4"/>
  </r>
  <r>
    <s v="P0159"/>
    <d v="2025-11-23T00:00:00"/>
    <x v="5"/>
    <x v="6"/>
    <x v="2"/>
    <x v="3"/>
    <n v="1"/>
    <n v="1362"/>
    <n v="1223100"/>
    <n v="898.01762114537451"/>
    <x v="1"/>
    <s v="No"/>
    <x v="1"/>
    <x v="2"/>
  </r>
  <r>
    <s v="P0197"/>
    <d v="2025-07-27T00:00:00"/>
    <x v="5"/>
    <x v="6"/>
    <x v="0"/>
    <x v="2"/>
    <n v="2"/>
    <n v="1356"/>
    <n v="1603200"/>
    <n v="1182.3008849557523"/>
    <x v="1"/>
    <s v="No"/>
    <x v="0"/>
    <x v="4"/>
  </r>
  <r>
    <s v="P0499"/>
    <d v="2025-03-14T00:00:00"/>
    <x v="1"/>
    <x v="1"/>
    <x v="3"/>
    <x v="2"/>
    <n v="2"/>
    <n v="1350"/>
    <n v="641900"/>
    <n v="475.48148148148147"/>
    <x v="0"/>
    <s v="Yes"/>
    <x v="2"/>
    <x v="3"/>
  </r>
  <r>
    <s v="P0168"/>
    <d v="2025-03-07T00:00:00"/>
    <x v="0"/>
    <x v="0"/>
    <x v="2"/>
    <x v="2"/>
    <n v="2"/>
    <n v="1349"/>
    <n v="794400"/>
    <n v="588.88065233506302"/>
    <x v="0"/>
    <s v="Yes"/>
    <x v="0"/>
    <x v="4"/>
  </r>
  <r>
    <s v="P0175"/>
    <d v="2025-08-03T00:00:00"/>
    <x v="6"/>
    <x v="21"/>
    <x v="3"/>
    <x v="3"/>
    <n v="2"/>
    <n v="1341"/>
    <n v="483700"/>
    <n v="360.70096942580165"/>
    <x v="2"/>
    <s v="Yes"/>
    <x v="2"/>
    <x v="3"/>
  </r>
  <r>
    <s v="P0370"/>
    <d v="2025-07-13T00:00:00"/>
    <x v="6"/>
    <x v="20"/>
    <x v="1"/>
    <x v="2"/>
    <n v="3"/>
    <n v="1340"/>
    <n v="413500"/>
    <n v="308.58208955223881"/>
    <x v="1"/>
    <s v="Yes"/>
    <x v="0"/>
    <x v="4"/>
  </r>
  <r>
    <s v="P0090"/>
    <d v="2025-02-20T00:00:00"/>
    <x v="0"/>
    <x v="12"/>
    <x v="3"/>
    <x v="1"/>
    <n v="4"/>
    <n v="1333"/>
    <n v="789600"/>
    <n v="592.34808702175542"/>
    <x v="0"/>
    <s v="Yes"/>
    <x v="2"/>
    <x v="0"/>
  </r>
  <r>
    <s v="P0389"/>
    <d v="2025-12-05T00:00:00"/>
    <x v="1"/>
    <x v="19"/>
    <x v="3"/>
    <x v="3"/>
    <n v="1"/>
    <n v="1326"/>
    <n v="629300"/>
    <n v="474.58521870286575"/>
    <x v="1"/>
    <s v="No"/>
    <x v="1"/>
    <x v="3"/>
  </r>
  <r>
    <s v="P0128"/>
    <d v="2025-02-10T00:00:00"/>
    <x v="4"/>
    <x v="16"/>
    <x v="3"/>
    <x v="2"/>
    <n v="2"/>
    <n v="1318"/>
    <n v="914200"/>
    <n v="693.62670713201817"/>
    <x v="1"/>
    <s v="No"/>
    <x v="1"/>
    <x v="1"/>
  </r>
  <r>
    <s v="P0323"/>
    <d v="2025-07-09T00:00:00"/>
    <x v="6"/>
    <x v="21"/>
    <x v="2"/>
    <x v="2"/>
    <n v="2"/>
    <n v="1317"/>
    <n v="408500"/>
    <n v="310.17463933181472"/>
    <x v="1"/>
    <s v="No"/>
    <x v="0"/>
    <x v="4"/>
  </r>
  <r>
    <s v="P0178"/>
    <d v="2025-08-09T00:00:00"/>
    <x v="0"/>
    <x v="13"/>
    <x v="0"/>
    <x v="2"/>
    <n v="3"/>
    <n v="1314"/>
    <n v="897400"/>
    <n v="682.95281582952816"/>
    <x v="1"/>
    <s v="No"/>
    <x v="1"/>
    <x v="1"/>
  </r>
  <r>
    <s v="P0200"/>
    <d v="2025-12-27T00:00:00"/>
    <x v="3"/>
    <x v="10"/>
    <x v="3"/>
    <x v="2"/>
    <n v="2"/>
    <n v="1313"/>
    <n v="748900"/>
    <n v="570.37319116527033"/>
    <x v="1"/>
    <s v="Yes"/>
    <x v="1"/>
    <x v="1"/>
  </r>
  <r>
    <s v="P0319"/>
    <d v="2025-08-09T00:00:00"/>
    <x v="1"/>
    <x v="19"/>
    <x v="1"/>
    <x v="3"/>
    <n v="1"/>
    <n v="1310"/>
    <n v="588800"/>
    <n v="449.46564885496184"/>
    <x v="0"/>
    <s v="Yes"/>
    <x v="1"/>
    <x v="4"/>
  </r>
  <r>
    <s v="P0382"/>
    <d v="2025-12-30T00:00:00"/>
    <x v="4"/>
    <x v="5"/>
    <x v="2"/>
    <x v="2"/>
    <n v="2"/>
    <n v="1308"/>
    <n v="764200"/>
    <n v="584.25076452599387"/>
    <x v="1"/>
    <s v="No"/>
    <x v="2"/>
    <x v="5"/>
  </r>
  <r>
    <s v="P0252"/>
    <d v="2025-12-27T00:00:00"/>
    <x v="0"/>
    <x v="14"/>
    <x v="2"/>
    <x v="2"/>
    <n v="3"/>
    <n v="1304"/>
    <n v="741800"/>
    <n v="568.86503067484659"/>
    <x v="2"/>
    <s v="Yes"/>
    <x v="2"/>
    <x v="2"/>
  </r>
  <r>
    <s v="P0021"/>
    <d v="2025-10-09T00:00:00"/>
    <x v="3"/>
    <x v="3"/>
    <x v="2"/>
    <x v="3"/>
    <n v="2"/>
    <n v="1302.5"/>
    <n v="300400"/>
    <n v="230.6333973128599"/>
    <x v="2"/>
    <s v="Yes"/>
    <x v="1"/>
    <x v="3"/>
  </r>
  <r>
    <s v="P0288"/>
    <d v="2025-06-13T00:00:00"/>
    <x v="1"/>
    <x v="19"/>
    <x v="2"/>
    <x v="3"/>
    <n v="2"/>
    <n v="1302.5"/>
    <n v="398800"/>
    <n v="306.18042226487523"/>
    <x v="1"/>
    <s v="Yes"/>
    <x v="1"/>
    <x v="1"/>
  </r>
  <r>
    <s v="P0012"/>
    <d v="2025-08-21T00:00:00"/>
    <x v="4"/>
    <x v="5"/>
    <x v="0"/>
    <x v="4"/>
    <n v="1"/>
    <n v="1302.5"/>
    <n v="469100"/>
    <n v="360.15355086372358"/>
    <x v="2"/>
    <s v="No"/>
    <x v="1"/>
    <x v="0"/>
  </r>
  <r>
    <s v="P0365"/>
    <d v="2025-03-23T00:00:00"/>
    <x v="4"/>
    <x v="15"/>
    <x v="3"/>
    <x v="4"/>
    <n v="1"/>
    <n v="1302.5"/>
    <n v="506500"/>
    <n v="388.86756238003841"/>
    <x v="2"/>
    <s v="No"/>
    <x v="1"/>
    <x v="4"/>
  </r>
  <r>
    <s v="P0473"/>
    <d v="2025-08-13T00:00:00"/>
    <x v="1"/>
    <x v="19"/>
    <x v="2"/>
    <x v="3"/>
    <n v="1"/>
    <n v="1302.5"/>
    <n v="531500"/>
    <n v="408.06142034548947"/>
    <x v="0"/>
    <s v="No"/>
    <x v="1"/>
    <x v="2"/>
  </r>
  <r>
    <s v="P0127"/>
    <d v="2025-08-24T00:00:00"/>
    <x v="3"/>
    <x v="10"/>
    <x v="1"/>
    <x v="2"/>
    <n v="3"/>
    <n v="1302.5"/>
    <n v="883000"/>
    <n v="677.92706333973126"/>
    <x v="0"/>
    <s v="No"/>
    <x v="0"/>
    <x v="4"/>
  </r>
  <r>
    <s v="P0272"/>
    <d v="2025-08-16T00:00:00"/>
    <x v="3"/>
    <x v="15"/>
    <x v="3"/>
    <x v="2"/>
    <n v="3"/>
    <n v="1302.5"/>
    <n v="976300"/>
    <n v="749.55854126679458"/>
    <x v="2"/>
    <s v="Yes"/>
    <x v="1"/>
    <x v="1"/>
  </r>
  <r>
    <s v="P0475"/>
    <d v="2025-09-17T00:00:00"/>
    <x v="1"/>
    <x v="11"/>
    <x v="0"/>
    <x v="0"/>
    <n v="5"/>
    <n v="1302.5"/>
    <n v="1035800"/>
    <n v="795.23992322456809"/>
    <x v="1"/>
    <s v="Yes"/>
    <x v="0"/>
    <x v="3"/>
  </r>
  <r>
    <s v="P0169"/>
    <d v="2025-04-26T00:00:00"/>
    <x v="2"/>
    <x v="14"/>
    <x v="1"/>
    <x v="2"/>
    <n v="3"/>
    <n v="1301"/>
    <n v="1031300"/>
    <n v="792.6979246733282"/>
    <x v="1"/>
    <s v="No"/>
    <x v="0"/>
    <x v="1"/>
  </r>
  <r>
    <s v="P0394"/>
    <d v="2025-03-27T00:00:00"/>
    <x v="6"/>
    <x v="8"/>
    <x v="0"/>
    <x v="2"/>
    <n v="3"/>
    <n v="1300"/>
    <n v="496200"/>
    <n v="381.69230769230768"/>
    <x v="0"/>
    <s v="Yes"/>
    <x v="1"/>
    <x v="5"/>
  </r>
  <r>
    <s v="P0053"/>
    <d v="2025-08-25T00:00:00"/>
    <x v="2"/>
    <x v="14"/>
    <x v="2"/>
    <x v="2"/>
    <n v="2"/>
    <n v="1297"/>
    <n v="949200"/>
    <n v="731.8427139552814"/>
    <x v="2"/>
    <s v="Yes"/>
    <x v="2"/>
    <x v="4"/>
  </r>
  <r>
    <s v="P0480"/>
    <d v="2025-08-01T00:00:00"/>
    <x v="4"/>
    <x v="16"/>
    <x v="0"/>
    <x v="2"/>
    <n v="2"/>
    <n v="1292"/>
    <n v="1066000"/>
    <n v="825.07739938080499"/>
    <x v="1"/>
    <s v="Yes"/>
    <x v="1"/>
    <x v="1"/>
  </r>
  <r>
    <s v="P0212"/>
    <d v="2025-09-24T00:00:00"/>
    <x v="6"/>
    <x v="20"/>
    <x v="3"/>
    <x v="3"/>
    <n v="2"/>
    <n v="1284"/>
    <n v="476800"/>
    <n v="371.33956386292834"/>
    <x v="2"/>
    <s v="No"/>
    <x v="2"/>
    <x v="1"/>
  </r>
  <r>
    <s v="P0007"/>
    <d v="2025-04-23T00:00:00"/>
    <x v="1"/>
    <x v="1"/>
    <x v="3"/>
    <x v="2"/>
    <n v="3"/>
    <n v="1280"/>
    <n v="618800"/>
    <n v="483.4375"/>
    <x v="0"/>
    <s v="No"/>
    <x v="0"/>
    <x v="0"/>
  </r>
  <r>
    <s v="P0469"/>
    <d v="2025-12-08T00:00:00"/>
    <x v="5"/>
    <x v="9"/>
    <x v="0"/>
    <x v="2"/>
    <n v="2"/>
    <n v="1280"/>
    <n v="1217600"/>
    <n v="951.25"/>
    <x v="2"/>
    <s v="Yes"/>
    <x v="0"/>
    <x v="2"/>
  </r>
  <r>
    <s v="P0138"/>
    <d v="2025-06-08T00:00:00"/>
    <x v="0"/>
    <x v="13"/>
    <x v="3"/>
    <x v="2"/>
    <n v="2"/>
    <n v="1276"/>
    <n v="858900"/>
    <n v="673.11912225705328"/>
    <x v="0"/>
    <s v="No"/>
    <x v="1"/>
    <x v="1"/>
  </r>
  <r>
    <s v="P0026"/>
    <d v="2025-09-25T00:00:00"/>
    <x v="2"/>
    <x v="14"/>
    <x v="1"/>
    <x v="2"/>
    <n v="2"/>
    <n v="1276"/>
    <n v="926800"/>
    <n v="726.33228840125389"/>
    <x v="1"/>
    <s v="No"/>
    <x v="0"/>
    <x v="2"/>
  </r>
  <r>
    <s v="P0123"/>
    <d v="2025-12-08T00:00:00"/>
    <x v="4"/>
    <x v="16"/>
    <x v="0"/>
    <x v="2"/>
    <n v="3"/>
    <n v="1274"/>
    <n v="938000"/>
    <n v="736.26373626373629"/>
    <x v="1"/>
    <s v="Yes"/>
    <x v="0"/>
    <x v="4"/>
  </r>
  <r>
    <s v="P0366"/>
    <d v="2025-11-10T00:00:00"/>
    <x v="4"/>
    <x v="15"/>
    <x v="3"/>
    <x v="2"/>
    <n v="3"/>
    <n v="1270"/>
    <n v="972100"/>
    <n v="765.43307086614175"/>
    <x v="2"/>
    <s v="Yes"/>
    <x v="2"/>
    <x v="4"/>
  </r>
  <r>
    <s v="P0385"/>
    <d v="2025-07-18T00:00:00"/>
    <x v="2"/>
    <x v="18"/>
    <x v="3"/>
    <x v="2"/>
    <n v="2"/>
    <n v="1265"/>
    <n v="1080800"/>
    <n v="854.38735177865613"/>
    <x v="1"/>
    <s v="No"/>
    <x v="1"/>
    <x v="5"/>
  </r>
  <r>
    <s v="P0062"/>
    <d v="2025-05-13T00:00:00"/>
    <x v="3"/>
    <x v="10"/>
    <x v="3"/>
    <x v="2"/>
    <n v="3"/>
    <n v="1259"/>
    <n v="689900"/>
    <n v="547.97458300238281"/>
    <x v="1"/>
    <s v="No"/>
    <x v="1"/>
    <x v="2"/>
  </r>
  <r>
    <s v="P0204"/>
    <d v="2025-08-21T00:00:00"/>
    <x v="1"/>
    <x v="11"/>
    <x v="1"/>
    <x v="2"/>
    <n v="3"/>
    <n v="1256"/>
    <n v="579400"/>
    <n v="461.30573248407643"/>
    <x v="2"/>
    <s v="No"/>
    <x v="2"/>
    <x v="3"/>
  </r>
  <r>
    <s v="P0018"/>
    <d v="2025-09-06T00:00:00"/>
    <x v="5"/>
    <x v="6"/>
    <x v="1"/>
    <x v="2"/>
    <n v="3"/>
    <n v="1242"/>
    <n v="1127000"/>
    <n v="907.40740740740739"/>
    <x v="2"/>
    <s v="Yes"/>
    <x v="1"/>
    <x v="3"/>
  </r>
  <r>
    <s v="P0134"/>
    <d v="2025-06-25T00:00:00"/>
    <x v="3"/>
    <x v="3"/>
    <x v="1"/>
    <x v="2"/>
    <n v="3"/>
    <n v="1237"/>
    <n v="706900"/>
    <n v="571.46321746160061"/>
    <x v="0"/>
    <s v="Yes"/>
    <x v="1"/>
    <x v="2"/>
  </r>
  <r>
    <s v="P0278"/>
    <d v="2025-11-23T00:00:00"/>
    <x v="5"/>
    <x v="23"/>
    <x v="2"/>
    <x v="2"/>
    <n v="3"/>
    <n v="1234"/>
    <n v="1163300"/>
    <n v="942.70664505672607"/>
    <x v="0"/>
    <s v="Yes"/>
    <x v="1"/>
    <x v="5"/>
  </r>
  <r>
    <s v="P0312"/>
    <d v="2025-09-07T00:00:00"/>
    <x v="6"/>
    <x v="8"/>
    <x v="3"/>
    <x v="1"/>
    <n v="4"/>
    <n v="1232"/>
    <n v="436600"/>
    <n v="354.38311688311688"/>
    <x v="0"/>
    <s v="No"/>
    <x v="0"/>
    <x v="2"/>
  </r>
  <r>
    <s v="P0060"/>
    <d v="2025-11-30T00:00:00"/>
    <x v="0"/>
    <x v="14"/>
    <x v="2"/>
    <x v="3"/>
    <n v="1"/>
    <n v="1229"/>
    <n v="724600"/>
    <n v="589.58502847843772"/>
    <x v="1"/>
    <s v="No"/>
    <x v="2"/>
    <x v="4"/>
  </r>
  <r>
    <s v="P0224"/>
    <d v="2025-11-13T00:00:00"/>
    <x v="1"/>
    <x v="19"/>
    <x v="3"/>
    <x v="2"/>
    <n v="3"/>
    <n v="1228"/>
    <n v="546300"/>
    <n v="444.8697068403909"/>
    <x v="0"/>
    <s v="No"/>
    <x v="1"/>
    <x v="4"/>
  </r>
  <r>
    <s v="P0446"/>
    <d v="2025-07-10T00:00:00"/>
    <x v="6"/>
    <x v="8"/>
    <x v="2"/>
    <x v="2"/>
    <n v="3"/>
    <n v="1227"/>
    <n v="383900"/>
    <n v="312.87693561532194"/>
    <x v="1"/>
    <s v="No"/>
    <x v="2"/>
    <x v="4"/>
  </r>
  <r>
    <s v="P0219"/>
    <d v="2025-09-12T00:00:00"/>
    <x v="4"/>
    <x v="5"/>
    <x v="2"/>
    <x v="2"/>
    <n v="2"/>
    <n v="1225"/>
    <n v="816900"/>
    <n v="666.85714285714289"/>
    <x v="1"/>
    <s v="Yes"/>
    <x v="1"/>
    <x v="4"/>
  </r>
  <r>
    <s v="P0167"/>
    <d v="2025-07-29T00:00:00"/>
    <x v="1"/>
    <x v="19"/>
    <x v="1"/>
    <x v="3"/>
    <n v="2"/>
    <n v="1222"/>
    <n v="524500"/>
    <n v="429.21440261865791"/>
    <x v="0"/>
    <s v="Yes"/>
    <x v="0"/>
    <x v="1"/>
  </r>
  <r>
    <s v="P0271"/>
    <d v="2025-12-02T00:00:00"/>
    <x v="0"/>
    <x v="14"/>
    <x v="1"/>
    <x v="2"/>
    <n v="2"/>
    <n v="1221"/>
    <n v="633400"/>
    <n v="518.7551187551187"/>
    <x v="2"/>
    <s v="Yes"/>
    <x v="0"/>
    <x v="0"/>
  </r>
  <r>
    <s v="P0405"/>
    <d v="2025-01-03T00:00:00"/>
    <x v="2"/>
    <x v="17"/>
    <x v="3"/>
    <x v="2"/>
    <n v="2"/>
    <n v="1210"/>
    <n v="910800"/>
    <n v="752.72727272727275"/>
    <x v="1"/>
    <s v="Yes"/>
    <x v="0"/>
    <x v="2"/>
  </r>
  <r>
    <s v="P0239"/>
    <d v="2025-11-12T00:00:00"/>
    <x v="6"/>
    <x v="21"/>
    <x v="1"/>
    <x v="3"/>
    <n v="2"/>
    <n v="1206"/>
    <n v="366800"/>
    <n v="304.14593698175787"/>
    <x v="2"/>
    <s v="No"/>
    <x v="0"/>
    <x v="0"/>
  </r>
  <r>
    <s v="P0124"/>
    <d v="2025-03-12T00:00:00"/>
    <x v="2"/>
    <x v="14"/>
    <x v="1"/>
    <x v="3"/>
    <n v="2"/>
    <n v="1202"/>
    <n v="955200"/>
    <n v="794.67554076539102"/>
    <x v="1"/>
    <s v="No"/>
    <x v="2"/>
    <x v="5"/>
  </r>
  <r>
    <s v="P0078"/>
    <d v="2025-06-14T00:00:00"/>
    <x v="0"/>
    <x v="13"/>
    <x v="1"/>
    <x v="2"/>
    <n v="3"/>
    <n v="1199"/>
    <n v="653000"/>
    <n v="544.62051709758134"/>
    <x v="0"/>
    <s v="Yes"/>
    <x v="0"/>
    <x v="1"/>
  </r>
  <r>
    <s v="P0156"/>
    <d v="2025-07-17T00:00:00"/>
    <x v="4"/>
    <x v="5"/>
    <x v="2"/>
    <x v="2"/>
    <n v="2"/>
    <n v="1191"/>
    <n v="811800"/>
    <n v="681.61209068010078"/>
    <x v="1"/>
    <s v="Yes"/>
    <x v="2"/>
    <x v="2"/>
  </r>
  <r>
    <s v="P0458"/>
    <d v="2025-10-30T00:00:00"/>
    <x v="4"/>
    <x v="5"/>
    <x v="2"/>
    <x v="3"/>
    <n v="1"/>
    <n v="1189"/>
    <n v="832300"/>
    <n v="700"/>
    <x v="0"/>
    <s v="No"/>
    <x v="1"/>
    <x v="2"/>
  </r>
  <r>
    <s v="P0417"/>
    <d v="2025-07-30T00:00:00"/>
    <x v="3"/>
    <x v="10"/>
    <x v="1"/>
    <x v="2"/>
    <n v="2"/>
    <n v="1184"/>
    <n v="568600"/>
    <n v="480.23648648648651"/>
    <x v="2"/>
    <s v="Yes"/>
    <x v="0"/>
    <x v="0"/>
  </r>
  <r>
    <s v="P0066"/>
    <d v="2025-05-22T00:00:00"/>
    <x v="6"/>
    <x v="15"/>
    <x v="3"/>
    <x v="3"/>
    <n v="2"/>
    <n v="1182"/>
    <n v="413400"/>
    <n v="349.74619289340103"/>
    <x v="0"/>
    <s v="No"/>
    <x v="0"/>
    <x v="0"/>
  </r>
  <r>
    <s v="P0388"/>
    <d v="2025-05-11T00:00:00"/>
    <x v="3"/>
    <x v="10"/>
    <x v="0"/>
    <x v="3"/>
    <n v="2"/>
    <n v="1182"/>
    <n v="714300"/>
    <n v="604.31472081218271"/>
    <x v="2"/>
    <s v="No"/>
    <x v="2"/>
    <x v="2"/>
  </r>
  <r>
    <s v="P0340"/>
    <d v="2025-12-13T00:00:00"/>
    <x v="6"/>
    <x v="5"/>
    <x v="2"/>
    <x v="3"/>
    <n v="2"/>
    <n v="1180"/>
    <n v="810200"/>
    <n v="686.61016949152543"/>
    <x v="0"/>
    <s v="No"/>
    <x v="1"/>
    <x v="5"/>
  </r>
  <r>
    <s v="P0400"/>
    <d v="2025-11-28T00:00:00"/>
    <x v="3"/>
    <x v="10"/>
    <x v="3"/>
    <x v="3"/>
    <n v="1"/>
    <n v="1165"/>
    <n v="732400"/>
    <n v="628.66952789699576"/>
    <x v="1"/>
    <s v="Yes"/>
    <x v="1"/>
    <x v="3"/>
  </r>
  <r>
    <s v="P0439"/>
    <d v="2025-02-08T00:00:00"/>
    <x v="6"/>
    <x v="15"/>
    <x v="0"/>
    <x v="3"/>
    <n v="2"/>
    <n v="1163"/>
    <n v="430500"/>
    <n v="370.16337059329322"/>
    <x v="0"/>
    <s v="Yes"/>
    <x v="2"/>
    <x v="1"/>
  </r>
  <r>
    <s v="P0229"/>
    <d v="2025-05-19T00:00:00"/>
    <x v="2"/>
    <x v="14"/>
    <x v="1"/>
    <x v="3"/>
    <n v="2"/>
    <n v="1163"/>
    <n v="841000"/>
    <n v="723.12983662940667"/>
    <x v="2"/>
    <s v="Yes"/>
    <x v="1"/>
    <x v="1"/>
  </r>
  <r>
    <s v="P0024"/>
    <d v="2025-06-10T00:00:00"/>
    <x v="6"/>
    <x v="8"/>
    <x v="1"/>
    <x v="2"/>
    <n v="2"/>
    <n v="1160"/>
    <n v="357200"/>
    <n v="307.93103448275861"/>
    <x v="2"/>
    <s v="Yes"/>
    <x v="1"/>
    <x v="4"/>
  </r>
  <r>
    <s v="P0067"/>
    <d v="2025-01-28T00:00:00"/>
    <x v="6"/>
    <x v="8"/>
    <x v="0"/>
    <x v="3"/>
    <n v="2"/>
    <n v="1160"/>
    <n v="371900"/>
    <n v="320.60344827586209"/>
    <x v="0"/>
    <s v="No"/>
    <x v="1"/>
    <x v="0"/>
  </r>
  <r>
    <s v="P0393"/>
    <d v="2025-07-11T00:00:00"/>
    <x v="6"/>
    <x v="21"/>
    <x v="1"/>
    <x v="2"/>
    <n v="3"/>
    <n v="1158"/>
    <n v="391200"/>
    <n v="337.8238341968912"/>
    <x v="0"/>
    <s v="No"/>
    <x v="2"/>
    <x v="5"/>
  </r>
  <r>
    <s v="P0472"/>
    <d v="2025-10-13T00:00:00"/>
    <x v="0"/>
    <x v="14"/>
    <x v="1"/>
    <x v="3"/>
    <n v="2"/>
    <n v="1151"/>
    <n v="596900"/>
    <n v="518.5925282363163"/>
    <x v="0"/>
    <s v="No"/>
    <x v="2"/>
    <x v="2"/>
  </r>
  <r>
    <s v="P0075"/>
    <d v="2025-05-20T00:00:00"/>
    <x v="1"/>
    <x v="7"/>
    <x v="0"/>
    <x v="2"/>
    <n v="3"/>
    <n v="1147"/>
    <n v="0"/>
    <n v="0"/>
    <x v="0"/>
    <s v="No"/>
    <x v="2"/>
    <x v="5"/>
  </r>
  <r>
    <s v="P0493"/>
    <d v="2025-07-24T00:00:00"/>
    <x v="6"/>
    <x v="21"/>
    <x v="3"/>
    <x v="3"/>
    <n v="2"/>
    <n v="1143"/>
    <n v="330800"/>
    <n v="289.41382327209101"/>
    <x v="1"/>
    <s v="Yes"/>
    <x v="2"/>
    <x v="3"/>
  </r>
  <r>
    <s v="P0190"/>
    <d v="2025-09-03T00:00:00"/>
    <x v="0"/>
    <x v="0"/>
    <x v="0"/>
    <x v="2"/>
    <n v="2"/>
    <n v="1137"/>
    <n v="664800"/>
    <n v="584.69656992084435"/>
    <x v="2"/>
    <s v="Yes"/>
    <x v="1"/>
    <x v="1"/>
  </r>
  <r>
    <s v="P0391"/>
    <d v="2025-05-31T00:00:00"/>
    <x v="2"/>
    <x v="18"/>
    <x v="1"/>
    <x v="3"/>
    <n v="2"/>
    <n v="1137"/>
    <n v="771500"/>
    <n v="678.54001759014955"/>
    <x v="2"/>
    <s v="No"/>
    <x v="1"/>
    <x v="2"/>
  </r>
  <r>
    <s v="P0009"/>
    <d v="2025-10-27T00:00:00"/>
    <x v="3"/>
    <x v="4"/>
    <x v="2"/>
    <x v="3"/>
    <n v="2"/>
    <n v="1130"/>
    <n v="632700"/>
    <n v="559.91150442477874"/>
    <x v="1"/>
    <s v="No"/>
    <x v="2"/>
    <x v="0"/>
  </r>
  <r>
    <s v="P0249"/>
    <d v="2025-12-23T00:00:00"/>
    <x v="6"/>
    <x v="20"/>
    <x v="0"/>
    <x v="2"/>
    <n v="3"/>
    <n v="1127"/>
    <n v="343200"/>
    <n v="304.52528837622003"/>
    <x v="1"/>
    <s v="No"/>
    <x v="0"/>
    <x v="1"/>
  </r>
  <r>
    <s v="P0315"/>
    <d v="2025-12-29T00:00:00"/>
    <x v="6"/>
    <x v="15"/>
    <x v="3"/>
    <x v="3"/>
    <n v="2"/>
    <n v="1125"/>
    <n v="329500"/>
    <n v="292.88888888888891"/>
    <x v="0"/>
    <s v="No"/>
    <x v="2"/>
    <x v="5"/>
  </r>
  <r>
    <s v="P0375"/>
    <d v="2025-02-24T00:00:00"/>
    <x v="6"/>
    <x v="15"/>
    <x v="1"/>
    <x v="3"/>
    <n v="2"/>
    <n v="1122"/>
    <n v="361800"/>
    <n v="322.45989304812832"/>
    <x v="1"/>
    <s v="Yes"/>
    <x v="0"/>
    <x v="5"/>
  </r>
  <r>
    <s v="P0027"/>
    <d v="2025-02-07T00:00:00"/>
    <x v="0"/>
    <x v="12"/>
    <x v="3"/>
    <x v="3"/>
    <n v="2"/>
    <n v="1117"/>
    <n v="665800"/>
    <n v="596.06087735004473"/>
    <x v="2"/>
    <s v="No"/>
    <x v="1"/>
    <x v="3"/>
  </r>
  <r>
    <s v="P0441"/>
    <d v="2025-02-24T00:00:00"/>
    <x v="1"/>
    <x v="7"/>
    <x v="3"/>
    <x v="3"/>
    <n v="2"/>
    <n v="1115"/>
    <n v="493700"/>
    <n v="442.78026905829597"/>
    <x v="2"/>
    <s v="Yes"/>
    <x v="1"/>
    <x v="2"/>
  </r>
  <r>
    <s v="P0326"/>
    <d v="2025-01-18T00:00:00"/>
    <x v="3"/>
    <x v="4"/>
    <x v="3"/>
    <x v="2"/>
    <n v="3"/>
    <n v="1115"/>
    <n v="564400"/>
    <n v="506.18834080717488"/>
    <x v="0"/>
    <s v="Yes"/>
    <x v="0"/>
    <x v="4"/>
  </r>
  <r>
    <s v="P0397"/>
    <d v="2025-07-19T00:00:00"/>
    <x v="5"/>
    <x v="23"/>
    <x v="0"/>
    <x v="2"/>
    <n v="3"/>
    <n v="1114"/>
    <n v="1144300"/>
    <n v="1027.1992818671454"/>
    <x v="0"/>
    <s v="Yes"/>
    <x v="1"/>
    <x v="5"/>
  </r>
  <r>
    <s v="P0201"/>
    <d v="2025-08-01T00:00:00"/>
    <x v="6"/>
    <x v="8"/>
    <x v="3"/>
    <x v="3"/>
    <n v="2"/>
    <n v="1112"/>
    <n v="376000"/>
    <n v="338.12949640287769"/>
    <x v="0"/>
    <s v="No"/>
    <x v="1"/>
    <x v="2"/>
  </r>
  <r>
    <s v="P0424"/>
    <d v="2025-12-23T00:00:00"/>
    <x v="4"/>
    <x v="15"/>
    <x v="0"/>
    <x v="2"/>
    <n v="2"/>
    <n v="1111"/>
    <n v="910000"/>
    <n v="819.08190819081904"/>
    <x v="0"/>
    <s v="Yes"/>
    <x v="2"/>
    <x v="0"/>
  </r>
  <r>
    <s v="P0072"/>
    <d v="2025-01-02T00:00:00"/>
    <x v="5"/>
    <x v="23"/>
    <x v="3"/>
    <x v="3"/>
    <n v="1"/>
    <n v="1110"/>
    <n v="1025300"/>
    <n v="923.69369369369372"/>
    <x v="1"/>
    <s v="No"/>
    <x v="1"/>
    <x v="3"/>
  </r>
  <r>
    <s v="P0392"/>
    <d v="2025-11-11T00:00:00"/>
    <x v="5"/>
    <x v="9"/>
    <x v="0"/>
    <x v="2"/>
    <n v="3"/>
    <n v="1110"/>
    <n v="1327700"/>
    <n v="1196.1261261261261"/>
    <x v="0"/>
    <s v="Yes"/>
    <x v="0"/>
    <x v="2"/>
  </r>
  <r>
    <s v="P0498"/>
    <d v="2025-06-06T00:00:00"/>
    <x v="1"/>
    <x v="7"/>
    <x v="1"/>
    <x v="3"/>
    <n v="1"/>
    <n v="1107"/>
    <n v="510100"/>
    <n v="460.79494128274615"/>
    <x v="1"/>
    <s v="No"/>
    <x v="0"/>
    <x v="1"/>
  </r>
  <r>
    <s v="P0377"/>
    <d v="2025-01-03T00:00:00"/>
    <x v="2"/>
    <x v="14"/>
    <x v="2"/>
    <x v="2"/>
    <n v="2"/>
    <n v="1106"/>
    <n v="926900"/>
    <n v="838.06509945750452"/>
    <x v="0"/>
    <s v="Yes"/>
    <x v="1"/>
    <x v="4"/>
  </r>
  <r>
    <s v="P0470"/>
    <d v="2025-07-22T00:00:00"/>
    <x v="3"/>
    <x v="10"/>
    <x v="1"/>
    <x v="3"/>
    <n v="2"/>
    <n v="1104"/>
    <n v="595800"/>
    <n v="539.67391304347825"/>
    <x v="2"/>
    <s v="Yes"/>
    <x v="0"/>
    <x v="3"/>
  </r>
  <r>
    <s v="P0470"/>
    <d v="2025-07-22T00:00:00"/>
    <x v="3"/>
    <x v="10"/>
    <x v="1"/>
    <x v="3"/>
    <n v="2"/>
    <n v="1104"/>
    <n v="595800"/>
    <n v="539.67391304347825"/>
    <x v="2"/>
    <s v="Yes"/>
    <x v="0"/>
    <x v="3"/>
  </r>
  <r>
    <s v="P0222"/>
    <d v="2025-03-28T00:00:00"/>
    <x v="0"/>
    <x v="13"/>
    <x v="2"/>
    <x v="3"/>
    <n v="1"/>
    <n v="1096"/>
    <n v="692800"/>
    <n v="632.11678832116786"/>
    <x v="2"/>
    <s v="No"/>
    <x v="0"/>
    <x v="3"/>
  </r>
  <r>
    <s v="P0150"/>
    <d v="2025-06-30T00:00:00"/>
    <x v="2"/>
    <x v="7"/>
    <x v="3"/>
    <x v="3"/>
    <n v="2"/>
    <n v="1096"/>
    <n v="729500"/>
    <n v="665.60218978102193"/>
    <x v="2"/>
    <s v="No"/>
    <x v="0"/>
    <x v="2"/>
  </r>
  <r>
    <s v="P0443"/>
    <d v="2025-10-04T00:00:00"/>
    <x v="4"/>
    <x v="15"/>
    <x v="2"/>
    <x v="3"/>
    <n v="1"/>
    <n v="1094"/>
    <n v="742400"/>
    <n v="678.61060329067641"/>
    <x v="2"/>
    <s v="No"/>
    <x v="2"/>
    <x v="2"/>
  </r>
  <r>
    <s v="P0059"/>
    <d v="2025-02-24T00:00:00"/>
    <x v="3"/>
    <x v="10"/>
    <x v="1"/>
    <x v="2"/>
    <n v="2"/>
    <n v="1093"/>
    <n v="626300"/>
    <n v="573.0100640439158"/>
    <x v="1"/>
    <s v="No"/>
    <x v="1"/>
    <x v="4"/>
  </r>
  <r>
    <s v="P0038"/>
    <d v="2025-05-16T00:00:00"/>
    <x v="6"/>
    <x v="15"/>
    <x v="1"/>
    <x v="3"/>
    <n v="2"/>
    <n v="1092"/>
    <n v="339600"/>
    <n v="310.98901098901098"/>
    <x v="2"/>
    <s v="Yes"/>
    <x v="1"/>
    <x v="4"/>
  </r>
  <r>
    <s v="P0440"/>
    <d v="2025-04-08T00:00:00"/>
    <x v="6"/>
    <x v="8"/>
    <x v="0"/>
    <x v="3"/>
    <n v="1"/>
    <n v="1091"/>
    <n v="390200"/>
    <n v="357.65352887259394"/>
    <x v="1"/>
    <s v="Yes"/>
    <x v="0"/>
    <x v="2"/>
  </r>
  <r>
    <s v="P0279"/>
    <d v="2025-08-30T00:00:00"/>
    <x v="6"/>
    <x v="20"/>
    <x v="3"/>
    <x v="2"/>
    <n v="2"/>
    <n v="1081"/>
    <n v="324600"/>
    <n v="300.27752081406106"/>
    <x v="2"/>
    <s v="Yes"/>
    <x v="1"/>
    <x v="5"/>
  </r>
  <r>
    <s v="P0257"/>
    <d v="2025-01-05T00:00:00"/>
    <x v="3"/>
    <x v="10"/>
    <x v="3"/>
    <x v="3"/>
    <n v="2"/>
    <n v="1079"/>
    <n v="674900"/>
    <n v="625.48656163113992"/>
    <x v="0"/>
    <s v="Yes"/>
    <x v="0"/>
    <x v="4"/>
  </r>
  <r>
    <s v="P0109"/>
    <d v="2025-02-02T00:00:00"/>
    <x v="6"/>
    <x v="15"/>
    <x v="3"/>
    <x v="3"/>
    <n v="2"/>
    <n v="1074"/>
    <n v="316900"/>
    <n v="295.06517690875233"/>
    <x v="1"/>
    <s v="No"/>
    <x v="2"/>
    <x v="3"/>
  </r>
  <r>
    <s v="P0103"/>
    <d v="2025-12-23T00:00:00"/>
    <x v="3"/>
    <x v="15"/>
    <x v="1"/>
    <x v="3"/>
    <n v="1"/>
    <n v="1073"/>
    <n v="592000"/>
    <n v="551.72413793103453"/>
    <x v="0"/>
    <s v="No"/>
    <x v="1"/>
    <x v="2"/>
  </r>
  <r>
    <s v="P0064"/>
    <d v="2025-12-06T00:00:00"/>
    <x v="5"/>
    <x v="6"/>
    <x v="3"/>
    <x v="2"/>
    <n v="2"/>
    <n v="1073"/>
    <n v="1041100"/>
    <n v="970.27027027027032"/>
    <x v="0"/>
    <s v="No"/>
    <x v="2"/>
    <x v="3"/>
  </r>
  <r>
    <s v="P0080"/>
    <d v="2025-07-05T00:00:00"/>
    <x v="4"/>
    <x v="16"/>
    <x v="2"/>
    <x v="2"/>
    <n v="3"/>
    <n v="1067"/>
    <n v="677700"/>
    <n v="635.14526710403004"/>
    <x v="0"/>
    <s v="No"/>
    <x v="1"/>
    <x v="4"/>
  </r>
  <r>
    <s v="P0387"/>
    <d v="2025-03-30T00:00:00"/>
    <x v="0"/>
    <x v="14"/>
    <x v="3"/>
    <x v="3"/>
    <n v="2"/>
    <n v="1064"/>
    <n v="588100"/>
    <n v="552.72556390977445"/>
    <x v="0"/>
    <s v="Yes"/>
    <x v="2"/>
    <x v="5"/>
  </r>
  <r>
    <s v="P0404"/>
    <d v="2025-04-10T00:00:00"/>
    <x v="1"/>
    <x v="1"/>
    <x v="1"/>
    <x v="3"/>
    <n v="1"/>
    <n v="1063"/>
    <n v="401300"/>
    <n v="377.51646284101599"/>
    <x v="1"/>
    <s v="No"/>
    <x v="2"/>
    <x v="1"/>
  </r>
  <r>
    <s v="P0141"/>
    <d v="2025-03-26T00:00:00"/>
    <x v="4"/>
    <x v="22"/>
    <x v="2"/>
    <x v="3"/>
    <n v="2"/>
    <n v="1060"/>
    <n v="758700"/>
    <n v="715.75471698113211"/>
    <x v="0"/>
    <s v="No"/>
    <x v="0"/>
    <x v="4"/>
  </r>
  <r>
    <s v="P0241"/>
    <d v="2025-07-23T00:00:00"/>
    <x v="2"/>
    <x v="2"/>
    <x v="0"/>
    <x v="3"/>
    <n v="1"/>
    <n v="1058"/>
    <n v="800300"/>
    <n v="756.42722117202266"/>
    <x v="1"/>
    <s v="No"/>
    <x v="1"/>
    <x v="2"/>
  </r>
  <r>
    <s v="P0148"/>
    <d v="2025-10-08T00:00:00"/>
    <x v="5"/>
    <x v="9"/>
    <x v="1"/>
    <x v="3"/>
    <n v="2"/>
    <n v="1056"/>
    <n v="1109000"/>
    <n v="1050.189393939394"/>
    <x v="0"/>
    <s v="No"/>
    <x v="0"/>
    <x v="1"/>
  </r>
  <r>
    <s v="P0336"/>
    <d v="2025-08-17T00:00:00"/>
    <x v="4"/>
    <x v="0"/>
    <x v="1"/>
    <x v="3"/>
    <n v="2"/>
    <n v="1053"/>
    <n v="0"/>
    <n v="0"/>
    <x v="2"/>
    <s v="No"/>
    <x v="1"/>
    <x v="3"/>
  </r>
  <r>
    <s v="P0082"/>
    <d v="2025-07-28T00:00:00"/>
    <x v="4"/>
    <x v="22"/>
    <x v="3"/>
    <x v="3"/>
    <n v="1"/>
    <n v="1053"/>
    <n v="653200"/>
    <n v="620.32288698955369"/>
    <x v="2"/>
    <s v="Yes"/>
    <x v="0"/>
    <x v="4"/>
  </r>
  <r>
    <s v="P0081"/>
    <d v="2025-09-06T00:00:00"/>
    <x v="4"/>
    <x v="16"/>
    <x v="3"/>
    <x v="3"/>
    <n v="1"/>
    <n v="1045"/>
    <n v="764200"/>
    <n v="731.29186602870811"/>
    <x v="2"/>
    <s v="Yes"/>
    <x v="1"/>
    <x v="3"/>
  </r>
  <r>
    <s v="P0081"/>
    <d v="2025-09-06T00:00:00"/>
    <x v="4"/>
    <x v="16"/>
    <x v="3"/>
    <x v="3"/>
    <n v="1"/>
    <n v="1045"/>
    <n v="764200"/>
    <n v="731.29186602870811"/>
    <x v="2"/>
    <s v="Yes"/>
    <x v="1"/>
    <x v="3"/>
  </r>
  <r>
    <s v="P0283"/>
    <d v="2025-01-29T00:00:00"/>
    <x v="3"/>
    <x v="3"/>
    <x v="1"/>
    <x v="3"/>
    <n v="2"/>
    <n v="1025"/>
    <n v="557200"/>
    <n v="543.60975609756099"/>
    <x v="1"/>
    <s v="Yes"/>
    <x v="0"/>
    <x v="5"/>
  </r>
  <r>
    <s v="P0428"/>
    <d v="2025-05-10T00:00:00"/>
    <x v="4"/>
    <x v="15"/>
    <x v="3"/>
    <x v="3"/>
    <n v="1"/>
    <n v="1025"/>
    <n v="741000"/>
    <n v="722.92682926829264"/>
    <x v="1"/>
    <s v="No"/>
    <x v="1"/>
    <x v="4"/>
  </r>
  <r>
    <s v="P0180"/>
    <d v="2025-06-23T00:00:00"/>
    <x v="4"/>
    <x v="5"/>
    <x v="1"/>
    <x v="3"/>
    <n v="2"/>
    <n v="1019"/>
    <n v="653300"/>
    <n v="641.11874386653585"/>
    <x v="0"/>
    <s v="No"/>
    <x v="0"/>
    <x v="0"/>
  </r>
  <r>
    <s v="P0211"/>
    <d v="2025-09-15T00:00:00"/>
    <x v="5"/>
    <x v="24"/>
    <x v="2"/>
    <x v="3"/>
    <n v="1"/>
    <n v="1019"/>
    <n v="910000"/>
    <n v="893.03238469087341"/>
    <x v="1"/>
    <s v="Yes"/>
    <x v="1"/>
    <x v="3"/>
  </r>
  <r>
    <s v="P0174"/>
    <d v="2025-02-24T00:00:00"/>
    <x v="6"/>
    <x v="20"/>
    <x v="2"/>
    <x v="3"/>
    <n v="2"/>
    <n v="1017"/>
    <n v="326500"/>
    <n v="321.04228121927235"/>
    <x v="1"/>
    <s v="Yes"/>
    <x v="2"/>
    <x v="5"/>
  </r>
  <r>
    <s v="P0086"/>
    <d v="2025-08-31T00:00:00"/>
    <x v="0"/>
    <x v="14"/>
    <x v="2"/>
    <x v="3"/>
    <n v="2"/>
    <n v="1014"/>
    <n v="522200"/>
    <n v="514.99013806706114"/>
    <x v="0"/>
    <s v="No"/>
    <x v="2"/>
    <x v="2"/>
  </r>
  <r>
    <s v="P0463"/>
    <d v="2025-11-13T00:00:00"/>
    <x v="0"/>
    <x v="12"/>
    <x v="2"/>
    <x v="2"/>
    <n v="2"/>
    <n v="1008"/>
    <n v="612400"/>
    <n v="607.53968253968253"/>
    <x v="1"/>
    <s v="No"/>
    <x v="1"/>
    <x v="3"/>
  </r>
  <r>
    <s v="P0056"/>
    <d v="2025-04-22T00:00:00"/>
    <x v="1"/>
    <x v="15"/>
    <x v="3"/>
    <x v="2"/>
    <n v="2"/>
    <n v="1007"/>
    <n v="416100"/>
    <n v="413.20754716981133"/>
    <x v="1"/>
    <s v="No"/>
    <x v="2"/>
    <x v="0"/>
  </r>
  <r>
    <s v="P0411"/>
    <d v="2025-09-05T00:00:00"/>
    <x v="3"/>
    <x v="3"/>
    <x v="3"/>
    <x v="2"/>
    <n v="2"/>
    <n v="1006"/>
    <n v="609400"/>
    <n v="605.76540755467192"/>
    <x v="1"/>
    <s v="Yes"/>
    <x v="0"/>
    <x v="4"/>
  </r>
  <r>
    <s v="P0049"/>
    <d v="2025-07-16T00:00:00"/>
    <x v="6"/>
    <x v="8"/>
    <x v="0"/>
    <x v="3"/>
    <n v="2"/>
    <n v="1004"/>
    <n v="310600"/>
    <n v="309.36254980079678"/>
    <x v="0"/>
    <s v="Yes"/>
    <x v="1"/>
    <x v="0"/>
  </r>
  <r>
    <s v="P0455"/>
    <d v="2025-10-08T00:00:00"/>
    <x v="0"/>
    <x v="0"/>
    <x v="3"/>
    <x v="3"/>
    <n v="2"/>
    <n v="999"/>
    <n v="663000"/>
    <n v="663.66366366366367"/>
    <x v="2"/>
    <s v="Yes"/>
    <x v="2"/>
    <x v="3"/>
  </r>
  <r>
    <s v="P0341"/>
    <d v="2025-11-24T00:00:00"/>
    <x v="5"/>
    <x v="6"/>
    <x v="0"/>
    <x v="3"/>
    <n v="1"/>
    <n v="998"/>
    <n v="1217800"/>
    <n v="1220.2404809619238"/>
    <x v="1"/>
    <s v="No"/>
    <x v="2"/>
    <x v="2"/>
  </r>
  <r>
    <s v="P0029"/>
    <d v="2025-12-06T00:00:00"/>
    <x v="1"/>
    <x v="11"/>
    <x v="0"/>
    <x v="2"/>
    <n v="2"/>
    <n v="995"/>
    <n v="482000"/>
    <n v="484.4221105527638"/>
    <x v="2"/>
    <s v="Yes"/>
    <x v="2"/>
    <x v="5"/>
  </r>
  <r>
    <s v="P0233"/>
    <d v="2025-12-15T00:00:00"/>
    <x v="0"/>
    <x v="12"/>
    <x v="2"/>
    <x v="2"/>
    <n v="3"/>
    <n v="993"/>
    <n v="571500"/>
    <n v="575.5287009063444"/>
    <x v="0"/>
    <s v="No"/>
    <x v="0"/>
    <x v="3"/>
  </r>
  <r>
    <s v="P0431"/>
    <d v="2025-07-25T00:00:00"/>
    <x v="5"/>
    <x v="9"/>
    <x v="0"/>
    <x v="3"/>
    <n v="2"/>
    <n v="991"/>
    <n v="1037300"/>
    <n v="1046.7204843592331"/>
    <x v="0"/>
    <s v="No"/>
    <x v="1"/>
    <x v="3"/>
  </r>
  <r>
    <s v="P0342"/>
    <d v="2025-01-30T00:00:00"/>
    <x v="0"/>
    <x v="12"/>
    <x v="3"/>
    <x v="3"/>
    <n v="1"/>
    <n v="989"/>
    <n v="638400"/>
    <n v="645.50050556117287"/>
    <x v="0"/>
    <s v="No"/>
    <x v="1"/>
    <x v="1"/>
  </r>
  <r>
    <s v="P0456"/>
    <d v="2025-12-02T00:00:00"/>
    <x v="4"/>
    <x v="16"/>
    <x v="1"/>
    <x v="3"/>
    <n v="1"/>
    <n v="987"/>
    <n v="591500"/>
    <n v="599.29078014184392"/>
    <x v="1"/>
    <s v="No"/>
    <x v="0"/>
    <x v="6"/>
  </r>
  <r>
    <s v="P0112"/>
    <d v="2025-10-08T00:00:00"/>
    <x v="1"/>
    <x v="19"/>
    <x v="3"/>
    <x v="3"/>
    <n v="1"/>
    <n v="986"/>
    <n v="470000"/>
    <n v="476.6734279918864"/>
    <x v="0"/>
    <s v="No"/>
    <x v="2"/>
    <x v="3"/>
  </r>
  <r>
    <s v="P0484"/>
    <d v="2025-06-16T00:00:00"/>
    <x v="4"/>
    <x v="18"/>
    <x v="0"/>
    <x v="3"/>
    <n v="1"/>
    <n v="985"/>
    <n v="886300"/>
    <n v="899.79695431472078"/>
    <x v="1"/>
    <s v="No"/>
    <x v="1"/>
    <x v="6"/>
  </r>
  <r>
    <s v="P0006"/>
    <d v="2025-05-17T00:00:00"/>
    <x v="3"/>
    <x v="10"/>
    <x v="3"/>
    <x v="3"/>
    <n v="2"/>
    <n v="984"/>
    <n v="517600"/>
    <n v="526.01626016260161"/>
    <x v="0"/>
    <s v="Yes"/>
    <x v="1"/>
    <x v="2"/>
  </r>
  <r>
    <s v="P0349"/>
    <d v="2025-04-01T00:00:00"/>
    <x v="2"/>
    <x v="18"/>
    <x v="3"/>
    <x v="3"/>
    <n v="1"/>
    <n v="979"/>
    <n v="717800"/>
    <n v="733.19713993871301"/>
    <x v="1"/>
    <s v="Yes"/>
    <x v="0"/>
    <x v="4"/>
  </r>
  <r>
    <s v="P0162"/>
    <d v="2025-02-28T00:00:00"/>
    <x v="1"/>
    <x v="7"/>
    <x v="2"/>
    <x v="2"/>
    <n v="1"/>
    <n v="969"/>
    <n v="408200"/>
    <n v="421.25902992776059"/>
    <x v="2"/>
    <s v="Yes"/>
    <x v="2"/>
    <x v="3"/>
  </r>
  <r>
    <s v="P0416"/>
    <d v="2025-11-05T00:00:00"/>
    <x v="5"/>
    <x v="6"/>
    <x v="3"/>
    <x v="3"/>
    <n v="2"/>
    <n v="966"/>
    <n v="914300"/>
    <n v="946.48033126294001"/>
    <x v="0"/>
    <s v="No"/>
    <x v="1"/>
    <x v="0"/>
  </r>
  <r>
    <s v="P0208"/>
    <d v="2025-04-25T00:00:00"/>
    <x v="5"/>
    <x v="23"/>
    <x v="2"/>
    <x v="2"/>
    <n v="3"/>
    <n v="963"/>
    <n v="1034100"/>
    <n v="1073.8317757009345"/>
    <x v="2"/>
    <s v="Yes"/>
    <x v="2"/>
    <x v="4"/>
  </r>
  <r>
    <s v="P0113"/>
    <d v="2025-12-02T00:00:00"/>
    <x v="2"/>
    <x v="17"/>
    <x v="2"/>
    <x v="2"/>
    <n v="2"/>
    <n v="959"/>
    <n v="642100"/>
    <n v="669.55161626694473"/>
    <x v="0"/>
    <s v="Yes"/>
    <x v="2"/>
    <x v="4"/>
  </r>
  <r>
    <s v="P0302"/>
    <d v="2025-07-22T00:00:00"/>
    <x v="5"/>
    <x v="24"/>
    <x v="1"/>
    <x v="3"/>
    <n v="1"/>
    <n v="958"/>
    <n v="907300"/>
    <n v="947.07724425887261"/>
    <x v="1"/>
    <s v="Yes"/>
    <x v="2"/>
    <x v="2"/>
  </r>
  <r>
    <s v="P0155"/>
    <d v="2025-01-25T00:00:00"/>
    <x v="6"/>
    <x v="21"/>
    <x v="2"/>
    <x v="3"/>
    <n v="2"/>
    <n v="952"/>
    <n v="292800"/>
    <n v="307.56302521008405"/>
    <x v="2"/>
    <s v="No"/>
    <x v="2"/>
    <x v="5"/>
  </r>
  <r>
    <s v="P0471"/>
    <d v="2025-06-23T00:00:00"/>
    <x v="4"/>
    <x v="15"/>
    <x v="3"/>
    <x v="3"/>
    <n v="2"/>
    <n v="951"/>
    <n v="711100"/>
    <n v="747.73922187171399"/>
    <x v="0"/>
    <s v="Yes"/>
    <x v="0"/>
    <x v="1"/>
  </r>
  <r>
    <s v="P0199"/>
    <d v="2025-12-21T00:00:00"/>
    <x v="0"/>
    <x v="10"/>
    <x v="0"/>
    <x v="3"/>
    <n v="1"/>
    <n v="945"/>
    <n v="581500"/>
    <n v="615.34391534391534"/>
    <x v="2"/>
    <s v="No"/>
    <x v="1"/>
    <x v="5"/>
  </r>
  <r>
    <s v="P0014"/>
    <d v="2025-05-04T00:00:00"/>
    <x v="3"/>
    <x v="15"/>
    <x v="1"/>
    <x v="3"/>
    <n v="2"/>
    <n v="944"/>
    <n v="463700"/>
    <n v="491.20762711864404"/>
    <x v="0"/>
    <s v="Yes"/>
    <x v="0"/>
    <x v="2"/>
  </r>
  <r>
    <s v="P0293"/>
    <d v="2025-09-24T00:00:00"/>
    <x v="3"/>
    <x v="4"/>
    <x v="1"/>
    <x v="3"/>
    <n v="1"/>
    <n v="940"/>
    <n v="460700"/>
    <n v="490.10638297872339"/>
    <x v="1"/>
    <s v="No"/>
    <x v="2"/>
    <x v="2"/>
  </r>
  <r>
    <s v="P0122"/>
    <d v="2025-11-07T00:00:00"/>
    <x v="5"/>
    <x v="9"/>
    <x v="0"/>
    <x v="2"/>
    <n v="2"/>
    <n v="935"/>
    <n v="989400"/>
    <n v="1058.1818181818182"/>
    <x v="1"/>
    <s v="No"/>
    <x v="2"/>
    <x v="0"/>
  </r>
  <r>
    <s v="P0226"/>
    <d v="2025-07-01T00:00:00"/>
    <x v="5"/>
    <x v="23"/>
    <x v="3"/>
    <x v="3"/>
    <n v="1"/>
    <n v="924"/>
    <n v="969000"/>
    <n v="1048.7012987012988"/>
    <x v="1"/>
    <s v="No"/>
    <x v="0"/>
    <x v="1"/>
  </r>
  <r>
    <s v="P0355"/>
    <d v="2025-05-11T00:00:00"/>
    <x v="5"/>
    <x v="23"/>
    <x v="1"/>
    <x v="3"/>
    <n v="1"/>
    <n v="922"/>
    <n v="978100"/>
    <n v="1060.8459869848157"/>
    <x v="0"/>
    <s v="Yes"/>
    <x v="1"/>
    <x v="5"/>
  </r>
  <r>
    <s v="P0303"/>
    <d v="2025-11-11T00:00:00"/>
    <x v="3"/>
    <x v="3"/>
    <x v="0"/>
    <x v="3"/>
    <n v="2"/>
    <n v="920"/>
    <n v="493000"/>
    <n v="535.86956521739125"/>
    <x v="0"/>
    <s v="Yes"/>
    <x v="1"/>
    <x v="1"/>
  </r>
  <r>
    <s v="P0448"/>
    <d v="2025-11-19T00:00:00"/>
    <x v="3"/>
    <x v="15"/>
    <x v="3"/>
    <x v="2"/>
    <n v="3"/>
    <n v="918"/>
    <n v="472400"/>
    <n v="514.59694989106754"/>
    <x v="0"/>
    <s v="No"/>
    <x v="2"/>
    <x v="1"/>
  </r>
  <r>
    <s v="P0231"/>
    <d v="2025-10-04T00:00:00"/>
    <x v="5"/>
    <x v="6"/>
    <x v="3"/>
    <x v="2"/>
    <n v="3"/>
    <n v="918"/>
    <n v="1001000"/>
    <n v="1090.4139433551197"/>
    <x v="1"/>
    <s v="No"/>
    <x v="1"/>
    <x v="0"/>
  </r>
  <r>
    <s v="P0320"/>
    <d v="2025-07-29T00:00:00"/>
    <x v="1"/>
    <x v="19"/>
    <x v="1"/>
    <x v="3"/>
    <n v="2"/>
    <n v="916"/>
    <n v="439800"/>
    <n v="480.13100436681225"/>
    <x v="0"/>
    <s v="No"/>
    <x v="1"/>
    <x v="1"/>
  </r>
  <r>
    <s v="P0217"/>
    <d v="2025-06-20T00:00:00"/>
    <x v="2"/>
    <x v="14"/>
    <x v="1"/>
    <x v="3"/>
    <n v="1"/>
    <n v="914"/>
    <n v="645800"/>
    <n v="706.56455142231948"/>
    <x v="1"/>
    <s v="Yes"/>
    <x v="0"/>
    <x v="0"/>
  </r>
  <r>
    <s v="P0242"/>
    <d v="2025-07-21T00:00:00"/>
    <x v="0"/>
    <x v="13"/>
    <x v="3"/>
    <x v="3"/>
    <n v="2"/>
    <n v="912"/>
    <n v="517700"/>
    <n v="567.65350877192986"/>
    <x v="1"/>
    <s v="Yes"/>
    <x v="1"/>
    <x v="0"/>
  </r>
  <r>
    <s v="P0284"/>
    <d v="2025-09-25T00:00:00"/>
    <x v="0"/>
    <x v="14"/>
    <x v="1"/>
    <x v="3"/>
    <n v="2"/>
    <n v="911"/>
    <n v="569900"/>
    <n v="625.57628979143794"/>
    <x v="0"/>
    <s v="No"/>
    <x v="0"/>
    <x v="1"/>
  </r>
  <r>
    <s v="P0244"/>
    <d v="2025-08-05T00:00:00"/>
    <x v="1"/>
    <x v="7"/>
    <x v="3"/>
    <x v="3"/>
    <n v="1"/>
    <n v="908"/>
    <n v="379600"/>
    <n v="418.0616740088106"/>
    <x v="1"/>
    <s v="Yes"/>
    <x v="2"/>
    <x v="3"/>
  </r>
  <r>
    <s v="P0119"/>
    <d v="2025-01-04T00:00:00"/>
    <x v="4"/>
    <x v="2"/>
    <x v="1"/>
    <x v="3"/>
    <n v="2"/>
    <n v="906"/>
    <n v="572300"/>
    <n v="631.67770419426051"/>
    <x v="2"/>
    <s v="Yes"/>
    <x v="1"/>
    <x v="2"/>
  </r>
  <r>
    <s v="P0050"/>
    <d v="2025-02-01T00:00:00"/>
    <x v="5"/>
    <x v="24"/>
    <x v="2"/>
    <x v="3"/>
    <n v="1"/>
    <n v="906"/>
    <n v="909000"/>
    <n v="1003.3112582781457"/>
    <x v="2"/>
    <s v="No"/>
    <x v="2"/>
    <x v="3"/>
  </r>
  <r>
    <s v="P0030"/>
    <d v="2025-06-25T00:00:00"/>
    <x v="5"/>
    <x v="23"/>
    <x v="0"/>
    <x v="3"/>
    <n v="1"/>
    <n v="904"/>
    <n v="901100"/>
    <n v="996.79203539823004"/>
    <x v="2"/>
    <s v="No"/>
    <x v="1"/>
    <x v="4"/>
  </r>
  <r>
    <s v="P0476"/>
    <d v="2025-10-03T00:00:00"/>
    <x v="4"/>
    <x v="5"/>
    <x v="3"/>
    <x v="3"/>
    <n v="1"/>
    <n v="901"/>
    <n v="567400"/>
    <n v="629.74472807991117"/>
    <x v="1"/>
    <s v="Yes"/>
    <x v="1"/>
    <x v="2"/>
  </r>
  <r>
    <s v="P0290"/>
    <d v="2025-06-05T00:00:00"/>
    <x v="2"/>
    <x v="18"/>
    <x v="1"/>
    <x v="3"/>
    <n v="2"/>
    <n v="900"/>
    <n v="604000"/>
    <n v="671.11111111111109"/>
    <x v="0"/>
    <s v="Yes"/>
    <x v="2"/>
    <x v="1"/>
  </r>
  <r>
    <s v="P0290"/>
    <d v="2025-06-05T00:00:00"/>
    <x v="2"/>
    <x v="18"/>
    <x v="1"/>
    <x v="3"/>
    <n v="2"/>
    <n v="900"/>
    <n v="604000"/>
    <n v="671.11111111111109"/>
    <x v="0"/>
    <s v="Yes"/>
    <x v="2"/>
    <x v="1"/>
  </r>
  <r>
    <s v="P0479"/>
    <d v="2025-04-17T00:00:00"/>
    <x v="0"/>
    <x v="12"/>
    <x v="1"/>
    <x v="3"/>
    <n v="2"/>
    <n v="898"/>
    <n v="558700"/>
    <n v="622.16035634743878"/>
    <x v="0"/>
    <s v="No"/>
    <x v="0"/>
    <x v="4"/>
  </r>
  <r>
    <s v="P0121"/>
    <d v="2025-02-13T00:00:00"/>
    <x v="3"/>
    <x v="10"/>
    <x v="3"/>
    <x v="3"/>
    <n v="2"/>
    <n v="897"/>
    <n v="520500"/>
    <n v="580.26755852842814"/>
    <x v="0"/>
    <s v="Yes"/>
    <x v="0"/>
    <x v="3"/>
  </r>
  <r>
    <s v="P0160"/>
    <d v="2025-08-13T00:00:00"/>
    <x v="0"/>
    <x v="14"/>
    <x v="1"/>
    <x v="3"/>
    <n v="1"/>
    <n v="897"/>
    <n v="524500"/>
    <n v="584.72686733556304"/>
    <x v="2"/>
    <s v="Yes"/>
    <x v="0"/>
    <x v="0"/>
  </r>
  <r>
    <s v="P0477"/>
    <d v="2025-02-04T00:00:00"/>
    <x v="3"/>
    <x v="3"/>
    <x v="0"/>
    <x v="3"/>
    <n v="2"/>
    <n v="897"/>
    <n v="533500"/>
    <n v="594.76031215161652"/>
    <x v="2"/>
    <s v="Yes"/>
    <x v="0"/>
    <x v="5"/>
  </r>
  <r>
    <s v="P0089"/>
    <d v="2025-01-19T00:00:00"/>
    <x v="4"/>
    <x v="5"/>
    <x v="2"/>
    <x v="3"/>
    <n v="1"/>
    <n v="893"/>
    <n v="679900"/>
    <n v="761.36618141097426"/>
    <x v="0"/>
    <s v="Yes"/>
    <x v="0"/>
    <x v="2"/>
  </r>
  <r>
    <s v="P0054"/>
    <d v="2025-07-14T00:00:00"/>
    <x v="6"/>
    <x v="8"/>
    <x v="2"/>
    <x v="3"/>
    <n v="2"/>
    <n v="888"/>
    <n v="303600"/>
    <n v="341.89189189189187"/>
    <x v="1"/>
    <s v="No"/>
    <x v="2"/>
    <x v="5"/>
  </r>
  <r>
    <s v="P0478"/>
    <d v="2025-11-25T00:00:00"/>
    <x v="1"/>
    <x v="19"/>
    <x v="2"/>
    <x v="3"/>
    <n v="2"/>
    <n v="885"/>
    <n v="346800"/>
    <n v="391.86440677966101"/>
    <x v="1"/>
    <s v="No"/>
    <x v="1"/>
    <x v="3"/>
  </r>
  <r>
    <s v="P0478"/>
    <d v="2025-11-25T00:00:00"/>
    <x v="1"/>
    <x v="19"/>
    <x v="2"/>
    <x v="3"/>
    <n v="2"/>
    <n v="885"/>
    <n v="346800"/>
    <n v="391.86440677966101"/>
    <x v="1"/>
    <s v="No"/>
    <x v="1"/>
    <x v="3"/>
  </r>
  <r>
    <s v="P0158"/>
    <d v="2025-08-07T00:00:00"/>
    <x v="5"/>
    <x v="6"/>
    <x v="0"/>
    <x v="3"/>
    <n v="2"/>
    <n v="881"/>
    <n v="977400"/>
    <n v="1109.4211123723042"/>
    <x v="2"/>
    <s v="No"/>
    <x v="2"/>
    <x v="4"/>
  </r>
  <r>
    <s v="P0276"/>
    <d v="2025-03-13T00:00:00"/>
    <x v="1"/>
    <x v="19"/>
    <x v="2"/>
    <x v="3"/>
    <n v="2"/>
    <n v="879"/>
    <n v="374000"/>
    <n v="425.48350398179747"/>
    <x v="2"/>
    <s v="No"/>
    <x v="1"/>
    <x v="5"/>
  </r>
  <r>
    <s v="P0073"/>
    <d v="2025-12-18T00:00:00"/>
    <x v="3"/>
    <x v="10"/>
    <x v="1"/>
    <x v="3"/>
    <n v="2"/>
    <n v="878"/>
    <n v="457700"/>
    <n v="521.29840546697039"/>
    <x v="2"/>
    <s v="No"/>
    <x v="1"/>
    <x v="3"/>
  </r>
  <r>
    <s v="P0460"/>
    <d v="2025-01-05T00:00:00"/>
    <x v="5"/>
    <x v="9"/>
    <x v="3"/>
    <x v="3"/>
    <n v="2"/>
    <n v="873"/>
    <n v="901700"/>
    <n v="1032.8751431844216"/>
    <x v="0"/>
    <s v="No"/>
    <x v="2"/>
    <x v="1"/>
  </r>
  <r>
    <s v="P0347"/>
    <d v="2025-11-14T00:00:00"/>
    <x v="6"/>
    <x v="20"/>
    <x v="0"/>
    <x v="2"/>
    <n v="3"/>
    <n v="870"/>
    <n v="303300"/>
    <n v="348.62068965517244"/>
    <x v="2"/>
    <s v="No"/>
    <x v="0"/>
    <x v="3"/>
  </r>
  <r>
    <s v="P0234"/>
    <d v="2025-12-31T00:00:00"/>
    <x v="6"/>
    <x v="8"/>
    <x v="1"/>
    <x v="4"/>
    <n v="1"/>
    <n v="869"/>
    <n v="240300"/>
    <n v="276.5247410817031"/>
    <x v="0"/>
    <s v="Yes"/>
    <x v="1"/>
    <x v="4"/>
  </r>
  <r>
    <s v="P0221"/>
    <d v="2025-09-13T00:00:00"/>
    <x v="2"/>
    <x v="18"/>
    <x v="0"/>
    <x v="2"/>
    <n v="2"/>
    <n v="869"/>
    <n v="752800"/>
    <n v="866.28308400460298"/>
    <x v="0"/>
    <s v="No"/>
    <x v="2"/>
    <x v="4"/>
  </r>
  <r>
    <s v="P0240"/>
    <d v="2025-06-18T00:00:00"/>
    <x v="6"/>
    <x v="15"/>
    <x v="2"/>
    <x v="3"/>
    <n v="1"/>
    <n v="856"/>
    <n v="264900"/>
    <n v="309.46261682242988"/>
    <x v="1"/>
    <s v="No"/>
    <x v="2"/>
    <x v="2"/>
  </r>
  <r>
    <s v="P0165"/>
    <d v="2025-07-05T00:00:00"/>
    <x v="0"/>
    <x v="0"/>
    <x v="0"/>
    <x v="3"/>
    <n v="2"/>
    <n v="856"/>
    <n v="554800"/>
    <n v="648.13084112149534"/>
    <x v="0"/>
    <s v="Yes"/>
    <x v="0"/>
    <x v="0"/>
  </r>
  <r>
    <s v="P0153"/>
    <d v="2025-12-17T00:00:00"/>
    <x v="0"/>
    <x v="0"/>
    <x v="0"/>
    <x v="3"/>
    <n v="2"/>
    <n v="856"/>
    <n v="555500"/>
    <n v="648.94859813084111"/>
    <x v="1"/>
    <s v="No"/>
    <x v="1"/>
    <x v="0"/>
  </r>
  <r>
    <s v="P0332"/>
    <d v="2025-12-17T00:00:00"/>
    <x v="4"/>
    <x v="5"/>
    <x v="0"/>
    <x v="3"/>
    <n v="2"/>
    <n v="851"/>
    <n v="688700"/>
    <n v="809.283196239718"/>
    <x v="2"/>
    <s v="Yes"/>
    <x v="0"/>
    <x v="1"/>
  </r>
  <r>
    <s v="P0445"/>
    <d v="2025-05-02T00:00:00"/>
    <x v="1"/>
    <x v="22"/>
    <x v="1"/>
    <x v="3"/>
    <n v="2"/>
    <n v="849"/>
    <n v="366600"/>
    <n v="431.80212014134275"/>
    <x v="1"/>
    <s v="No"/>
    <x v="1"/>
    <x v="1"/>
  </r>
  <r>
    <s v="P0198"/>
    <d v="2025-05-08T00:00:00"/>
    <x v="0"/>
    <x v="6"/>
    <x v="3"/>
    <x v="3"/>
    <n v="2"/>
    <n v="843"/>
    <n v="484400"/>
    <n v="574.61447212336896"/>
    <x v="2"/>
    <s v="No"/>
    <x v="2"/>
    <x v="0"/>
  </r>
  <r>
    <s v="P0164"/>
    <d v="2025-02-14T00:00:00"/>
    <x v="4"/>
    <x v="16"/>
    <x v="2"/>
    <x v="3"/>
    <n v="1"/>
    <n v="836"/>
    <n v="570700"/>
    <n v="682.65550239234449"/>
    <x v="0"/>
    <s v="No"/>
    <x v="1"/>
    <x v="1"/>
  </r>
  <r>
    <s v="P0220"/>
    <d v="2025-10-16T00:00:00"/>
    <x v="4"/>
    <x v="5"/>
    <x v="3"/>
    <x v="3"/>
    <n v="2"/>
    <n v="831"/>
    <n v="578600"/>
    <n v="696.26955475330931"/>
    <x v="2"/>
    <s v="Yes"/>
    <x v="0"/>
    <x v="1"/>
  </r>
  <r>
    <s v="P0402"/>
    <d v="2025-05-10T00:00:00"/>
    <x v="0"/>
    <x v="14"/>
    <x v="3"/>
    <x v="3"/>
    <n v="2"/>
    <n v="828"/>
    <n v="514700"/>
    <n v="621.61835748792271"/>
    <x v="2"/>
    <s v="Yes"/>
    <x v="0"/>
    <x v="2"/>
  </r>
  <r>
    <s v="P0033"/>
    <d v="2025-01-21T00:00:00"/>
    <x v="2"/>
    <x v="2"/>
    <x v="2"/>
    <x v="3"/>
    <n v="2"/>
    <n v="818"/>
    <n v="658300"/>
    <n v="804.76772616136918"/>
    <x v="1"/>
    <s v="Yes"/>
    <x v="1"/>
    <x v="0"/>
  </r>
  <r>
    <s v="P0092"/>
    <d v="2025-07-15T00:00:00"/>
    <x v="4"/>
    <x v="22"/>
    <x v="3"/>
    <x v="3"/>
    <n v="2"/>
    <n v="813"/>
    <n v="596200"/>
    <n v="733.33333333333337"/>
    <x v="0"/>
    <s v="Yes"/>
    <x v="2"/>
    <x v="3"/>
  </r>
  <r>
    <s v="P0496"/>
    <d v="2025-06-06T00:00:00"/>
    <x v="6"/>
    <x v="8"/>
    <x v="0"/>
    <x v="3"/>
    <n v="1"/>
    <n v="800"/>
    <n v="284100"/>
    <n v="355.125"/>
    <x v="2"/>
    <s v="No"/>
    <x v="1"/>
    <x v="4"/>
  </r>
  <r>
    <s v="P0314"/>
    <d v="2025-11-10T00:00:00"/>
    <x v="0"/>
    <x v="13"/>
    <x v="1"/>
    <x v="3"/>
    <n v="1"/>
    <n v="796"/>
    <n v="422900"/>
    <n v="531.2814070351759"/>
    <x v="2"/>
    <s v="Yes"/>
    <x v="2"/>
    <x v="0"/>
  </r>
  <r>
    <s v="P0453"/>
    <d v="2025-07-22T00:00:00"/>
    <x v="1"/>
    <x v="3"/>
    <x v="3"/>
    <x v="3"/>
    <n v="2"/>
    <n v="795"/>
    <n v="376300"/>
    <n v="473.33333333333331"/>
    <x v="1"/>
    <s v="No"/>
    <x v="2"/>
    <x v="2"/>
  </r>
  <r>
    <s v="P0130"/>
    <d v="2025-12-02T00:00:00"/>
    <x v="1"/>
    <x v="7"/>
    <x v="3"/>
    <x v="3"/>
    <n v="1"/>
    <n v="793"/>
    <n v="331400"/>
    <n v="417.90668348045398"/>
    <x v="2"/>
    <s v="Yes"/>
    <x v="1"/>
    <x v="4"/>
  </r>
  <r>
    <s v="P0408"/>
    <d v="2025-10-25T00:00:00"/>
    <x v="0"/>
    <x v="0"/>
    <x v="1"/>
    <x v="4"/>
    <n v="1"/>
    <n v="792"/>
    <n v="457600"/>
    <n v="577.77777777777783"/>
    <x v="0"/>
    <s v="No"/>
    <x v="1"/>
    <x v="0"/>
  </r>
  <r>
    <s v="P0179"/>
    <d v="2025-05-28T00:00:00"/>
    <x v="4"/>
    <x v="15"/>
    <x v="0"/>
    <x v="4"/>
    <n v="1"/>
    <n v="792"/>
    <n v="563800"/>
    <n v="711.86868686868684"/>
    <x v="2"/>
    <s v="No"/>
    <x v="1"/>
    <x v="4"/>
  </r>
  <r>
    <s v="P0185"/>
    <d v="2025-04-15T00:00:00"/>
    <x v="6"/>
    <x v="19"/>
    <x v="1"/>
    <x v="3"/>
    <n v="2"/>
    <n v="783"/>
    <n v="326100"/>
    <n v="416.4750957854406"/>
    <x v="1"/>
    <s v="No"/>
    <x v="1"/>
    <x v="2"/>
  </r>
  <r>
    <s v="P0206"/>
    <d v="2025-07-29T00:00:00"/>
    <x v="0"/>
    <x v="0"/>
    <x v="1"/>
    <x v="4"/>
    <n v="1"/>
    <n v="781"/>
    <n v="381700"/>
    <n v="488.73239436619718"/>
    <x v="2"/>
    <s v="Yes"/>
    <x v="1"/>
    <x v="2"/>
  </r>
  <r>
    <s v="P0304"/>
    <d v="2025-03-12T00:00:00"/>
    <x v="3"/>
    <x v="4"/>
    <x v="2"/>
    <x v="4"/>
    <n v="1"/>
    <n v="775"/>
    <n v="404300"/>
    <n v="521.67741935483866"/>
    <x v="1"/>
    <s v="Yes"/>
    <x v="1"/>
    <x v="3"/>
  </r>
  <r>
    <s v="P0055"/>
    <d v="2025-01-16T00:00:00"/>
    <x v="3"/>
    <x v="15"/>
    <x v="1"/>
    <x v="3"/>
    <n v="2"/>
    <n v="774"/>
    <n v="425000"/>
    <n v="549.0956072351421"/>
    <x v="2"/>
    <s v="Yes"/>
    <x v="0"/>
    <x v="3"/>
  </r>
  <r>
    <s v="P0235"/>
    <d v="2025-02-22T00:00:00"/>
    <x v="6"/>
    <x v="20"/>
    <x v="1"/>
    <x v="4"/>
    <n v="2"/>
    <n v="768"/>
    <n v="250100"/>
    <n v="325.65104166666669"/>
    <x v="2"/>
    <s v="Yes"/>
    <x v="0"/>
    <x v="4"/>
  </r>
  <r>
    <s v="P0173"/>
    <d v="2025-04-15T00:00:00"/>
    <x v="3"/>
    <x v="10"/>
    <x v="2"/>
    <x v="4"/>
    <n v="1"/>
    <n v="767"/>
    <n v="423300"/>
    <n v="551.89048239895692"/>
    <x v="1"/>
    <s v="Yes"/>
    <x v="2"/>
    <x v="2"/>
  </r>
  <r>
    <s v="P0270"/>
    <d v="2025-07-04T00:00:00"/>
    <x v="1"/>
    <x v="1"/>
    <x v="0"/>
    <x v="3"/>
    <n v="2"/>
    <n v="764"/>
    <n v="325300"/>
    <n v="425.78534031413614"/>
    <x v="1"/>
    <s v="Yes"/>
    <x v="2"/>
    <x v="2"/>
  </r>
  <r>
    <s v="P0210"/>
    <d v="2025-11-03T00:00:00"/>
    <x v="1"/>
    <x v="1"/>
    <x v="1"/>
    <x v="4"/>
    <n v="1"/>
    <n v="757"/>
    <n v="282700"/>
    <n v="373.44782034346105"/>
    <x v="0"/>
    <s v="Yes"/>
    <x v="0"/>
    <x v="2"/>
  </r>
  <r>
    <s v="P0125"/>
    <d v="2025-12-09T00:00:00"/>
    <x v="5"/>
    <x v="24"/>
    <x v="2"/>
    <x v="3"/>
    <n v="2"/>
    <n v="755"/>
    <n v="764500"/>
    <n v="1012.5827814569536"/>
    <x v="1"/>
    <s v="Yes"/>
    <x v="2"/>
    <x v="2"/>
  </r>
  <r>
    <s v="P0444"/>
    <d v="2025-06-11T00:00:00"/>
    <x v="4"/>
    <x v="22"/>
    <x v="2"/>
    <x v="2"/>
    <n v="1"/>
    <n v="753"/>
    <n v="524200"/>
    <n v="696.14873837981406"/>
    <x v="0"/>
    <s v="Yes"/>
    <x v="0"/>
    <x v="2"/>
  </r>
  <r>
    <s v="P0184"/>
    <d v="2025-11-19T00:00:00"/>
    <x v="6"/>
    <x v="8"/>
    <x v="1"/>
    <x v="2"/>
    <n v="3"/>
    <n v="747"/>
    <n v="207500"/>
    <n v="277.77777777777777"/>
    <x v="0"/>
    <s v="No"/>
    <x v="0"/>
    <x v="2"/>
  </r>
  <r>
    <s v="P0261"/>
    <d v="2025-01-17T00:00:00"/>
    <x v="2"/>
    <x v="2"/>
    <x v="2"/>
    <x v="2"/>
    <n v="1"/>
    <n v="744"/>
    <n v="525200"/>
    <n v="705.91397849462362"/>
    <x v="1"/>
    <s v="No"/>
    <x v="2"/>
    <x v="5"/>
  </r>
  <r>
    <s v="P0462"/>
    <d v="2025-11-17T00:00:00"/>
    <x v="0"/>
    <x v="13"/>
    <x v="2"/>
    <x v="3"/>
    <n v="2"/>
    <n v="743"/>
    <n v="386800"/>
    <n v="520.59219380888294"/>
    <x v="2"/>
    <s v="No"/>
    <x v="2"/>
    <x v="2"/>
  </r>
  <r>
    <s v="P0247"/>
    <d v="2025-10-22T00:00:00"/>
    <x v="5"/>
    <x v="9"/>
    <x v="1"/>
    <x v="3"/>
    <n v="2"/>
    <n v="743"/>
    <n v="731800"/>
    <n v="984.9259757738896"/>
    <x v="2"/>
    <s v="No"/>
    <x v="2"/>
    <x v="4"/>
  </r>
  <r>
    <s v="P0464"/>
    <d v="2025-10-01T00:00:00"/>
    <x v="3"/>
    <x v="3"/>
    <x v="0"/>
    <x v="4"/>
    <n v="1"/>
    <n v="738"/>
    <n v="384000"/>
    <n v="520.32520325203257"/>
    <x v="2"/>
    <s v="Yes"/>
    <x v="0"/>
    <x v="1"/>
  </r>
  <r>
    <s v="P0015"/>
    <d v="2025-11-07T00:00:00"/>
    <x v="3"/>
    <x v="15"/>
    <x v="3"/>
    <x v="3"/>
    <n v="1"/>
    <n v="736"/>
    <n v="393300"/>
    <n v="534.375"/>
    <x v="1"/>
    <s v="Yes"/>
    <x v="1"/>
    <x v="2"/>
  </r>
  <r>
    <s v="P0333"/>
    <d v="2025-04-19T00:00:00"/>
    <x v="0"/>
    <x v="5"/>
    <x v="0"/>
    <x v="3"/>
    <n v="1"/>
    <n v="736"/>
    <n v="422000"/>
    <n v="573.36956521739125"/>
    <x v="1"/>
    <s v="No"/>
    <x v="1"/>
    <x v="1"/>
  </r>
  <r>
    <s v="P0500"/>
    <d v="2025-12-23T00:00:00"/>
    <x v="0"/>
    <x v="0"/>
    <x v="0"/>
    <x v="2"/>
    <n v="2"/>
    <n v="734"/>
    <n v="432600"/>
    <n v="589.37329700272483"/>
    <x v="0"/>
    <s v="No"/>
    <x v="0"/>
    <x v="4"/>
  </r>
  <r>
    <s v="P0218"/>
    <d v="2025-04-15T00:00:00"/>
    <x v="0"/>
    <x v="0"/>
    <x v="2"/>
    <x v="3"/>
    <n v="1"/>
    <n v="734"/>
    <n v="442200"/>
    <n v="602.45231607629432"/>
    <x v="1"/>
    <s v="Yes"/>
    <x v="1"/>
    <x v="1"/>
  </r>
  <r>
    <s v="P0334"/>
    <d v="2025-07-26T00:00:00"/>
    <x v="4"/>
    <x v="16"/>
    <x v="3"/>
    <x v="4"/>
    <n v="1"/>
    <n v="734"/>
    <n v="552200"/>
    <n v="752.31607629427788"/>
    <x v="2"/>
    <s v="Yes"/>
    <x v="0"/>
    <x v="0"/>
  </r>
  <r>
    <s v="P0238"/>
    <d v="2025-02-02T00:00:00"/>
    <x v="1"/>
    <x v="1"/>
    <x v="0"/>
    <x v="3"/>
    <n v="2"/>
    <n v="733"/>
    <n v="349300"/>
    <n v="476.53478854024559"/>
    <x v="2"/>
    <s v="No"/>
    <x v="2"/>
    <x v="4"/>
  </r>
  <r>
    <s v="P0331"/>
    <d v="2025-09-01T00:00:00"/>
    <x v="3"/>
    <x v="3"/>
    <x v="2"/>
    <x v="4"/>
    <n v="1"/>
    <n v="730"/>
    <n v="376300"/>
    <n v="515.47945205479448"/>
    <x v="1"/>
    <s v="No"/>
    <x v="0"/>
    <x v="1"/>
  </r>
  <r>
    <s v="P0183"/>
    <d v="2025-12-19T00:00:00"/>
    <x v="6"/>
    <x v="21"/>
    <x v="1"/>
    <x v="3"/>
    <n v="2"/>
    <n v="729"/>
    <n v="226900"/>
    <n v="311.24828532235938"/>
    <x v="0"/>
    <s v="Yes"/>
    <x v="1"/>
    <x v="4"/>
  </r>
  <r>
    <s v="P0454"/>
    <d v="2025-03-06T00:00:00"/>
    <x v="2"/>
    <x v="18"/>
    <x v="2"/>
    <x v="3"/>
    <n v="2"/>
    <n v="729"/>
    <n v="595100"/>
    <n v="816.32373113854601"/>
    <x v="0"/>
    <s v="Yes"/>
    <x v="1"/>
    <x v="1"/>
  </r>
  <r>
    <s v="P0108"/>
    <d v="2025-03-09T00:00:00"/>
    <x v="1"/>
    <x v="7"/>
    <x v="3"/>
    <x v="4"/>
    <n v="1"/>
    <n v="728"/>
    <n v="367800"/>
    <n v="505.2197802197802"/>
    <x v="2"/>
    <s v="No"/>
    <x v="0"/>
    <x v="3"/>
  </r>
  <r>
    <s v="P0280"/>
    <d v="2025-07-23T00:00:00"/>
    <x v="5"/>
    <x v="6"/>
    <x v="3"/>
    <x v="4"/>
    <n v="1"/>
    <n v="720"/>
    <n v="839300"/>
    <n v="1165.6944444444443"/>
    <x v="0"/>
    <s v="No"/>
    <x v="1"/>
    <x v="2"/>
  </r>
  <r>
    <s v="P0181"/>
    <d v="2025-08-22T00:00:00"/>
    <x v="2"/>
    <x v="18"/>
    <x v="1"/>
    <x v="4"/>
    <n v="1"/>
    <n v="718"/>
    <n v="506600"/>
    <n v="705.57103064066848"/>
    <x v="0"/>
    <s v="Yes"/>
    <x v="2"/>
    <x v="3"/>
  </r>
  <r>
    <s v="P0492"/>
    <d v="2025-07-21T00:00:00"/>
    <x v="0"/>
    <x v="14"/>
    <x v="3"/>
    <x v="4"/>
    <n v="1"/>
    <n v="717"/>
    <n v="458900"/>
    <n v="640.02789400278937"/>
    <x v="1"/>
    <s v="Yes"/>
    <x v="0"/>
    <x v="4"/>
  </r>
  <r>
    <s v="P0203"/>
    <d v="2025-03-26T00:00:00"/>
    <x v="6"/>
    <x v="15"/>
    <x v="1"/>
    <x v="4"/>
    <n v="1"/>
    <n v="714"/>
    <n v="219500"/>
    <n v="307.42296918767505"/>
    <x v="1"/>
    <s v="No"/>
    <x v="0"/>
    <x v="2"/>
  </r>
  <r>
    <s v="P0140"/>
    <d v="2025-02-21T00:00:00"/>
    <x v="1"/>
    <x v="1"/>
    <x v="3"/>
    <x v="4"/>
    <n v="1"/>
    <n v="701"/>
    <n v="352300"/>
    <n v="502.56776034236805"/>
    <x v="0"/>
    <s v="Yes"/>
    <x v="1"/>
    <x v="1"/>
  </r>
  <r>
    <s v="P0262"/>
    <d v="2025-06-29T00:00:00"/>
    <x v="3"/>
    <x v="15"/>
    <x v="3"/>
    <x v="3"/>
    <n v="1"/>
    <n v="700"/>
    <n v="408300"/>
    <n v="583.28571428571433"/>
    <x v="0"/>
    <s v="No"/>
    <x v="0"/>
    <x v="3"/>
  </r>
  <r>
    <s v="P0449"/>
    <d v="2025-11-19T00:00:00"/>
    <x v="6"/>
    <x v="15"/>
    <x v="2"/>
    <x v="4"/>
    <n v="1"/>
    <n v="692"/>
    <n v="206800"/>
    <n v="298.84393063583815"/>
    <x v="2"/>
    <s v="No"/>
    <x v="1"/>
    <x v="1"/>
  </r>
  <r>
    <s v="P0037"/>
    <d v="2025-05-23T00:00:00"/>
    <x v="4"/>
    <x v="22"/>
    <x v="3"/>
    <x v="4"/>
    <n v="1"/>
    <n v="686"/>
    <n v="536200"/>
    <n v="781.63265306122446"/>
    <x v="1"/>
    <s v="No"/>
    <x v="1"/>
    <x v="3"/>
  </r>
  <r>
    <s v="P0497"/>
    <d v="2025-02-13T00:00:00"/>
    <x v="2"/>
    <x v="2"/>
    <x v="2"/>
    <x v="4"/>
    <n v="1"/>
    <n v="685"/>
    <n v="546100"/>
    <n v="797.22627737226276"/>
    <x v="2"/>
    <s v="Yes"/>
    <x v="0"/>
    <x v="3"/>
  </r>
  <r>
    <s v="P0091"/>
    <d v="2025-03-16T00:00:00"/>
    <x v="0"/>
    <x v="12"/>
    <x v="1"/>
    <x v="4"/>
    <n v="1"/>
    <n v="677"/>
    <n v="365400"/>
    <n v="539.73412112259973"/>
    <x v="2"/>
    <s v="No"/>
    <x v="1"/>
    <x v="2"/>
  </r>
  <r>
    <s v="P0300"/>
    <d v="2025-04-24T00:00:00"/>
    <x v="4"/>
    <x v="22"/>
    <x v="1"/>
    <x v="4"/>
    <n v="1"/>
    <n v="673"/>
    <n v="483000"/>
    <n v="717.68202080237745"/>
    <x v="2"/>
    <s v="Yes"/>
    <x v="2"/>
    <x v="1"/>
  </r>
  <r>
    <s v="P0107"/>
    <d v="2025-06-18T00:00:00"/>
    <x v="1"/>
    <x v="1"/>
    <x v="3"/>
    <x v="4"/>
    <n v="1"/>
    <n v="671"/>
    <n v="339300"/>
    <n v="505.66318926974662"/>
    <x v="2"/>
    <s v="Yes"/>
    <x v="2"/>
    <x v="0"/>
  </r>
  <r>
    <s v="P0495"/>
    <d v="2025-02-15T00:00:00"/>
    <x v="0"/>
    <x v="14"/>
    <x v="3"/>
    <x v="4"/>
    <n v="2"/>
    <n v="667"/>
    <n v="447500"/>
    <n v="670.91454272863564"/>
    <x v="2"/>
    <s v="No"/>
    <x v="2"/>
    <x v="1"/>
  </r>
  <r>
    <s v="P0259"/>
    <d v="2025-10-17T00:00:00"/>
    <x v="5"/>
    <x v="23"/>
    <x v="0"/>
    <x v="4"/>
    <n v="1"/>
    <n v="665"/>
    <n v="771800"/>
    <n v="1160.6015037593984"/>
    <x v="0"/>
    <s v="No"/>
    <x v="1"/>
    <x v="3"/>
  </r>
  <r>
    <s v="P0459"/>
    <d v="2025-07-07T00:00:00"/>
    <x v="0"/>
    <x v="13"/>
    <x v="0"/>
    <x v="3"/>
    <n v="2"/>
    <n v="650"/>
    <n v="400100"/>
    <n v="615.53846153846155"/>
    <x v="1"/>
    <s v="No"/>
    <x v="0"/>
    <x v="1"/>
  </r>
  <r>
    <s v="P0088"/>
    <d v="2025-05-16T00:00:00"/>
    <x v="1"/>
    <x v="11"/>
    <x v="3"/>
    <x v="4"/>
    <n v="1"/>
    <n v="647"/>
    <n v="320200"/>
    <n v="494.89953632148377"/>
    <x v="1"/>
    <s v="No"/>
    <x v="1"/>
    <x v="5"/>
  </r>
  <r>
    <s v="P0191"/>
    <d v="2025-09-29T00:00:00"/>
    <x v="2"/>
    <x v="17"/>
    <x v="3"/>
    <x v="4"/>
    <n v="1"/>
    <n v="645"/>
    <n v="435800"/>
    <n v="675.65891472868213"/>
    <x v="2"/>
    <s v="Yes"/>
    <x v="0"/>
    <x v="5"/>
  </r>
  <r>
    <s v="P0367"/>
    <d v="2025-12-14T00:00:00"/>
    <x v="5"/>
    <x v="24"/>
    <x v="2"/>
    <x v="4"/>
    <n v="1"/>
    <n v="642"/>
    <n v="685400"/>
    <n v="1067.601246105919"/>
    <x v="0"/>
    <s v="Yes"/>
    <x v="1"/>
    <x v="1"/>
  </r>
  <r>
    <s v="P0035"/>
    <d v="2025-12-09T00:00:00"/>
    <x v="0"/>
    <x v="22"/>
    <x v="2"/>
    <x v="4"/>
    <n v="1"/>
    <n v="641"/>
    <n v="494900"/>
    <n v="772.07488299531985"/>
    <x v="0"/>
    <s v="Yes"/>
    <x v="2"/>
    <x v="0"/>
  </r>
  <r>
    <s v="P0035"/>
    <d v="2025-12-09T00:00:00"/>
    <x v="3"/>
    <x v="22"/>
    <x v="2"/>
    <x v="4"/>
    <n v="1"/>
    <n v="641"/>
    <n v="494900"/>
    <n v="772.07488299531985"/>
    <x v="0"/>
    <s v="Yes"/>
    <x v="2"/>
    <x v="0"/>
  </r>
  <r>
    <s v="P0248"/>
    <d v="2025-08-01T00:00:00"/>
    <x v="3"/>
    <x v="3"/>
    <x v="0"/>
    <x v="4"/>
    <n v="1"/>
    <n v="640"/>
    <n v="338500"/>
    <n v="528.90625"/>
    <x v="2"/>
    <s v="Yes"/>
    <x v="1"/>
    <x v="0"/>
  </r>
  <r>
    <s v="P0144"/>
    <d v="2025-07-10T00:00:00"/>
    <x v="4"/>
    <x v="22"/>
    <x v="0"/>
    <x v="4"/>
    <n v="1"/>
    <n v="637"/>
    <n v="468300"/>
    <n v="735.16483516483515"/>
    <x v="0"/>
    <s v="Yes"/>
    <x v="1"/>
    <x v="6"/>
  </r>
  <r>
    <s v="P0100"/>
    <d v="2025-10-02T00:00:00"/>
    <x v="4"/>
    <x v="15"/>
    <x v="0"/>
    <x v="4"/>
    <n v="1"/>
    <n v="630"/>
    <n v="405300"/>
    <n v="643.33333333333337"/>
    <x v="2"/>
    <s v="No"/>
    <x v="2"/>
    <x v="2"/>
  </r>
  <r>
    <s v="P0063"/>
    <d v="2025-12-20T00:00:00"/>
    <x v="6"/>
    <x v="15"/>
    <x v="3"/>
    <x v="4"/>
    <n v="1"/>
    <n v="624"/>
    <n v="219300"/>
    <n v="351.44230769230768"/>
    <x v="1"/>
    <s v="No"/>
    <x v="2"/>
    <x v="5"/>
  </r>
  <r>
    <s v="P0356"/>
    <d v="2025-08-16T00:00:00"/>
    <x v="0"/>
    <x v="0"/>
    <x v="1"/>
    <x v="4"/>
    <n v="1"/>
    <n v="623"/>
    <n v="312200"/>
    <n v="501.12359550561797"/>
    <x v="1"/>
    <s v="Yes"/>
    <x v="1"/>
    <x v="1"/>
  </r>
  <r>
    <s v="P0032"/>
    <d v="2025-12-20T00:00:00"/>
    <x v="3"/>
    <x v="4"/>
    <x v="1"/>
    <x v="4"/>
    <n v="1"/>
    <n v="619"/>
    <n v="365400"/>
    <n v="590.30694668820684"/>
    <x v="2"/>
    <s v="No"/>
    <x v="2"/>
    <x v="3"/>
  </r>
  <r>
    <s v="P0216"/>
    <d v="2025-04-08T00:00:00"/>
    <x v="5"/>
    <x v="24"/>
    <x v="0"/>
    <x v="4"/>
    <n v="1"/>
    <n v="619"/>
    <n v="708400"/>
    <n v="1144.426494345719"/>
    <x v="2"/>
    <s v="No"/>
    <x v="2"/>
    <x v="2"/>
  </r>
  <r>
    <s v="P0052"/>
    <d v="2025-12-14T00:00:00"/>
    <x v="6"/>
    <x v="21"/>
    <x v="2"/>
    <x v="4"/>
    <n v="1"/>
    <n v="615"/>
    <n v="188100"/>
    <n v="305.85365853658539"/>
    <x v="1"/>
    <s v="Yes"/>
    <x v="2"/>
    <x v="0"/>
  </r>
  <r>
    <s v="P0145"/>
    <d v="2025-08-12T00:00:00"/>
    <x v="4"/>
    <x v="16"/>
    <x v="0"/>
    <x v="4"/>
    <n v="1"/>
    <n v="613"/>
    <n v="410500"/>
    <n v="669.65742251223492"/>
    <x v="2"/>
    <s v="Yes"/>
    <x v="2"/>
    <x v="1"/>
  </r>
  <r>
    <s v="P0363"/>
    <d v="2025-08-13T00:00:00"/>
    <x v="5"/>
    <x v="9"/>
    <x v="1"/>
    <x v="4"/>
    <n v="1"/>
    <n v="612"/>
    <n v="567800"/>
    <n v="927.77777777777783"/>
    <x v="0"/>
    <s v="No"/>
    <x v="1"/>
    <x v="5"/>
  </r>
  <r>
    <s v="P0069"/>
    <d v="2025-01-28T00:00:00"/>
    <x v="5"/>
    <x v="6"/>
    <x v="2"/>
    <x v="4"/>
    <n v="1"/>
    <n v="612"/>
    <n v="641000"/>
    <n v="1047.3856209150326"/>
    <x v="2"/>
    <s v="Yes"/>
    <x v="1"/>
    <x v="1"/>
  </r>
  <r>
    <s v="P0236"/>
    <d v="2025-02-17T00:00:00"/>
    <x v="3"/>
    <x v="4"/>
    <x v="1"/>
    <x v="4"/>
    <n v="1"/>
    <n v="605"/>
    <n v="306900"/>
    <n v="507.27272727272725"/>
    <x v="0"/>
    <s v="No"/>
    <x v="2"/>
    <x v="5"/>
  </r>
  <r>
    <s v="P0488"/>
    <d v="2025-10-26T00:00:00"/>
    <x v="3"/>
    <x v="10"/>
    <x v="3"/>
    <x v="3"/>
    <n v="2"/>
    <n v="605"/>
    <n v="332700"/>
    <n v="549.91735537190084"/>
    <x v="2"/>
    <s v="Yes"/>
    <x v="2"/>
    <x v="1"/>
  </r>
  <r>
    <s v="P0057"/>
    <d v="2025-07-12T00:00:00"/>
    <x v="2"/>
    <x v="14"/>
    <x v="3"/>
    <x v="3"/>
    <n v="2"/>
    <n v="603"/>
    <n v="472000"/>
    <n v="782.75290215588723"/>
    <x v="1"/>
    <s v="Yes"/>
    <x v="0"/>
    <x v="3"/>
  </r>
  <r>
    <s v="P0189"/>
    <d v="2025-06-26T00:00:00"/>
    <x v="6"/>
    <x v="20"/>
    <x v="0"/>
    <x v="4"/>
    <n v="1"/>
    <n v="599"/>
    <n v="230400"/>
    <n v="384.64106844741235"/>
    <x v="2"/>
    <s v="No"/>
    <x v="0"/>
    <x v="1"/>
  </r>
  <r>
    <s v="P0195"/>
    <d v="2025-05-26T00:00:00"/>
    <x v="4"/>
    <x v="0"/>
    <x v="1"/>
    <x v="4"/>
    <n v="1"/>
    <n v="599"/>
    <n v="446000"/>
    <n v="744.57429048414019"/>
    <x v="1"/>
    <s v="No"/>
    <x v="0"/>
    <x v="3"/>
  </r>
  <r>
    <s v="P0307"/>
    <d v="2025-01-29T00:00:00"/>
    <x v="4"/>
    <x v="22"/>
    <x v="3"/>
    <x v="4"/>
    <n v="1"/>
    <n v="599"/>
    <n v="462700"/>
    <n v="772.45409015025041"/>
    <x v="2"/>
    <s v="No"/>
    <x v="2"/>
    <x v="0"/>
  </r>
  <r>
    <s v="P0364"/>
    <d v="2025-08-22T00:00:00"/>
    <x v="6"/>
    <x v="20"/>
    <x v="3"/>
    <x v="2"/>
    <n v="1"/>
    <n v="588"/>
    <n v="188200"/>
    <n v="320.06802721088434"/>
    <x v="1"/>
    <s v="No"/>
    <x v="1"/>
    <x v="4"/>
  </r>
  <r>
    <s v="P0335"/>
    <d v="2025-05-21T00:00:00"/>
    <x v="4"/>
    <x v="22"/>
    <x v="1"/>
    <x v="3"/>
    <n v="2"/>
    <n v="581"/>
    <n v="404200"/>
    <n v="695.69707401032701"/>
    <x v="1"/>
    <s v="No"/>
    <x v="1"/>
    <x v="4"/>
  </r>
  <r>
    <s v="P0020"/>
    <d v="2025-02-25T00:00:00"/>
    <x v="4"/>
    <x v="16"/>
    <x v="1"/>
    <x v="4"/>
    <n v="1"/>
    <n v="578"/>
    <n v="404500"/>
    <n v="699.82698961937717"/>
    <x v="2"/>
    <s v="Yes"/>
    <x v="0"/>
    <x v="3"/>
  </r>
  <r>
    <s v="P0318"/>
    <d v="2025-02-23T00:00:00"/>
    <x v="5"/>
    <x v="9"/>
    <x v="0"/>
    <x v="4"/>
    <n v="1"/>
    <n v="576"/>
    <n v="582500"/>
    <n v="1011.2847222222222"/>
    <x v="2"/>
    <s v="No"/>
    <x v="0"/>
    <x v="4"/>
  </r>
  <r>
    <s v="P0412"/>
    <d v="2025-04-16T00:00:00"/>
    <x v="1"/>
    <x v="19"/>
    <x v="0"/>
    <x v="3"/>
    <n v="2"/>
    <n v="572"/>
    <n v="239900"/>
    <n v="419.4055944055944"/>
    <x v="0"/>
    <s v="No"/>
    <x v="2"/>
    <x v="4"/>
  </r>
  <r>
    <s v="P0192"/>
    <d v="2025-01-03T00:00:00"/>
    <x v="3"/>
    <x v="10"/>
    <x v="2"/>
    <x v="4"/>
    <n v="1"/>
    <n v="563"/>
    <n v="334500"/>
    <n v="594.13854351687394"/>
    <x v="0"/>
    <s v="Yes"/>
    <x v="2"/>
    <x v="2"/>
  </r>
  <r>
    <s v="P0292"/>
    <d v="2025-06-07T00:00:00"/>
    <x v="0"/>
    <x v="0"/>
    <x v="0"/>
    <x v="4"/>
    <n v="1"/>
    <n v="562"/>
    <n v="339800"/>
    <n v="604.62633451957299"/>
    <x v="2"/>
    <s v="Yes"/>
    <x v="1"/>
    <x v="0"/>
  </r>
  <r>
    <s v="P0232"/>
    <d v="2025-02-08T00:00:00"/>
    <x v="4"/>
    <x v="16"/>
    <x v="0"/>
    <x v="4"/>
    <n v="1"/>
    <n v="557"/>
    <n v="404700"/>
    <n v="726.57091561938955"/>
    <x v="1"/>
    <s v="No"/>
    <x v="2"/>
    <x v="5"/>
  </r>
  <r>
    <s v="P0225"/>
    <d v="2025-01-09T00:00:00"/>
    <x v="5"/>
    <x v="9"/>
    <x v="2"/>
    <x v="4"/>
    <n v="1"/>
    <n v="557"/>
    <n v="635600"/>
    <n v="1141.1131059245961"/>
    <x v="0"/>
    <s v="No"/>
    <x v="0"/>
    <x v="5"/>
  </r>
  <r>
    <s v="P0129"/>
    <d v="2025-06-28T00:00:00"/>
    <x v="1"/>
    <x v="7"/>
    <x v="3"/>
    <x v="4"/>
    <n v="1"/>
    <n v="553"/>
    <n v="233900"/>
    <n v="422.96564195298373"/>
    <x v="1"/>
    <s v="Yes"/>
    <x v="0"/>
    <x v="5"/>
  </r>
  <r>
    <s v="P0322"/>
    <d v="2025-11-23T00:00:00"/>
    <x v="4"/>
    <x v="15"/>
    <x v="3"/>
    <x v="4"/>
    <n v="1"/>
    <n v="552"/>
    <n v="362700"/>
    <n v="657.06521739130437"/>
    <x v="1"/>
    <s v="Yes"/>
    <x v="2"/>
    <x v="5"/>
  </r>
  <r>
    <s v="P0360"/>
    <d v="2025-12-10T00:00:00"/>
    <x v="3"/>
    <x v="3"/>
    <x v="2"/>
    <x v="3"/>
    <n v="2"/>
    <n v="549"/>
    <n v="264000"/>
    <n v="480.87431693989072"/>
    <x v="2"/>
    <s v="Yes"/>
    <x v="1"/>
    <x v="2"/>
  </r>
  <r>
    <s v="P0401"/>
    <d v="2025-06-06T00:00:00"/>
    <x v="1"/>
    <x v="19"/>
    <x v="1"/>
    <x v="4"/>
    <n v="1"/>
    <n v="530"/>
    <n v="252800"/>
    <n v="476.98113207547169"/>
    <x v="2"/>
    <s v="No"/>
    <x v="0"/>
    <x v="4"/>
  </r>
  <r>
    <s v="P0017"/>
    <d v="2025-12-29T00:00:00"/>
    <x v="1"/>
    <x v="19"/>
    <x v="0"/>
    <x v="4"/>
    <n v="1"/>
    <n v="502"/>
    <n v="208300"/>
    <n v="414.9402390438247"/>
    <x v="0"/>
    <s v="Yes"/>
    <x v="0"/>
    <x v="5"/>
  </r>
  <r>
    <s v="P0087"/>
    <d v="2025-08-14T00:00:00"/>
    <x v="4"/>
    <x v="22"/>
    <x v="2"/>
    <x v="4"/>
    <n v="1"/>
    <n v="493"/>
    <n v="375100"/>
    <n v="760.85192697768764"/>
    <x v="2"/>
    <s v="No"/>
    <x v="0"/>
    <x v="2"/>
  </r>
  <r>
    <s v="P0074"/>
    <d v="2025-03-18T00:00:00"/>
    <x v="0"/>
    <x v="14"/>
    <x v="2"/>
    <x v="4"/>
    <n v="1"/>
    <n v="474"/>
    <n v="257500"/>
    <n v="543.24894514767936"/>
    <x v="1"/>
    <s v="Yes"/>
    <x v="0"/>
    <x v="5"/>
  </r>
  <r>
    <s v="P0149"/>
    <d v="2025-02-26T00:00:00"/>
    <x v="1"/>
    <x v="7"/>
    <x v="1"/>
    <x v="4"/>
    <n v="1"/>
    <n v="467"/>
    <n v="196800"/>
    <n v="421.41327623126341"/>
    <x v="1"/>
    <s v="Yes"/>
    <x v="1"/>
    <x v="3"/>
  </r>
  <r>
    <s v="P0438"/>
    <d v="2025-04-23T00:00:00"/>
    <x v="3"/>
    <x v="15"/>
    <x v="0"/>
    <x v="4"/>
    <n v="1"/>
    <n v="454"/>
    <n v="277900"/>
    <n v="612.11453744493394"/>
    <x v="0"/>
    <s v="Yes"/>
    <x v="2"/>
    <x v="4"/>
  </r>
  <r>
    <s v="P0151"/>
    <d v="2025-01-11T00:00:00"/>
    <x v="0"/>
    <x v="0"/>
    <x v="0"/>
    <x v="4"/>
    <n v="1"/>
    <n v="452"/>
    <n v="283200"/>
    <n v="626.54867256637169"/>
    <x v="1"/>
    <s v="No"/>
    <x v="0"/>
    <x v="2"/>
  </r>
  <r>
    <s v="P0321"/>
    <d v="2025-07-04T00:00:00"/>
    <x v="6"/>
    <x v="8"/>
    <x v="1"/>
    <x v="4"/>
    <n v="1"/>
    <n v="450"/>
    <n v="124400"/>
    <n v="276.44444444444446"/>
    <x v="0"/>
    <s v="No"/>
    <x v="0"/>
    <x v="1"/>
  </r>
  <r>
    <s v="P0374"/>
    <d v="2025-06-24T00:00:00"/>
    <x v="6"/>
    <x v="21"/>
    <x v="1"/>
    <x v="4"/>
    <n v="1"/>
    <n v="450"/>
    <n v="126900"/>
    <n v="282"/>
    <x v="1"/>
    <s v="No"/>
    <x v="1"/>
    <x v="3"/>
  </r>
  <r>
    <s v="P0490"/>
    <d v="2025-06-21T00:00:00"/>
    <x v="6"/>
    <x v="15"/>
    <x v="2"/>
    <x v="4"/>
    <n v="1"/>
    <n v="450"/>
    <n v="160000"/>
    <n v="355.55555555555554"/>
    <x v="1"/>
    <s v="No"/>
    <x v="2"/>
    <x v="5"/>
  </r>
  <r>
    <s v="P0269"/>
    <d v="2025-03-22T00:00:00"/>
    <x v="4"/>
    <x v="16"/>
    <x v="1"/>
    <x v="4"/>
    <n v="1"/>
    <n v="677"/>
    <n v="402000"/>
    <n v="593.79615952732649"/>
    <x v="1"/>
    <s v="No"/>
    <x v="0"/>
    <x v="4"/>
  </r>
  <r>
    <s v="P0466"/>
    <d v="2025-07-20T00:00:00"/>
    <x v="3"/>
    <x v="15"/>
    <x v="0"/>
    <x v="2"/>
    <n v="1"/>
    <n v="716"/>
    <n v="373300"/>
    <n v="521.36871508379886"/>
    <x v="2"/>
    <s v="No"/>
    <x v="0"/>
    <x v="0"/>
  </r>
  <r>
    <s v="P0353"/>
    <d v="2025-12-18T00:00:00"/>
    <x v="4"/>
    <x v="16"/>
    <x v="0"/>
    <x v="3"/>
    <n v="2"/>
    <n v="918"/>
    <n v="649100"/>
    <n v="707.08061002178647"/>
    <x v="2"/>
    <s v="No"/>
    <x v="2"/>
    <x v="1"/>
  </r>
  <r>
    <s v="P0461"/>
    <d v="2025-10-15T00:00:00"/>
    <x v="5"/>
    <x v="24"/>
    <x v="0"/>
    <x v="2"/>
    <n v="3"/>
    <n v="1438"/>
    <n v="1424300"/>
    <n v="990.47287899860919"/>
    <x v="1"/>
    <s v="No"/>
    <x v="0"/>
    <x v="0"/>
  </r>
  <r>
    <s v="P0362"/>
    <d v="2025-05-29T00:00:00"/>
    <x v="3"/>
    <x v="15"/>
    <x v="1"/>
    <x v="0"/>
    <n v="5"/>
    <n v="2827"/>
    <n v="1640600"/>
    <n v="580.33250795896708"/>
    <x v="1"/>
    <s v="No"/>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6A1C34-3EE6-4E58-803D-595C83DB3E9D}" name="PivotTable3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D23:E31" firstHeaderRow="1" firstDataRow="1" firstDataCol="1"/>
  <pivotFields count="14">
    <pivotField showAll="0"/>
    <pivotField numFmtId="164" showAll="0"/>
    <pivotField axis="axisRow" showAll="0" sortType="descending" defaultSubtotal="0">
      <items count="7">
        <item x="3"/>
        <item x="1"/>
        <item x="0"/>
        <item x="6"/>
        <item x="4"/>
        <item x="5"/>
        <item x="2"/>
      </items>
      <autoSortScope>
        <pivotArea dataOnly="0" outline="0" fieldPosition="0">
          <references count="1">
            <reference field="4294967294" count="1" selected="0">
              <x v="0"/>
            </reference>
          </references>
        </pivotArea>
      </autoSortScope>
    </pivotField>
    <pivotField showAll="0"/>
    <pivotField showAll="0">
      <items count="5">
        <item h="1" x="1"/>
        <item h="1" x="0"/>
        <item h="1" x="3"/>
        <item x="2"/>
        <item t="default"/>
      </items>
    </pivotField>
    <pivotField showAll="0"/>
    <pivotField showAll="0"/>
    <pivotField showAll="0"/>
    <pivotField showAll="0"/>
    <pivotField dataField="1" numFmtId="2" showAll="0"/>
    <pivotField showAll="0"/>
    <pivotField showAll="0"/>
    <pivotField showAll="0"/>
    <pivotField showAll="0"/>
  </pivotFields>
  <rowFields count="1">
    <field x="2"/>
  </rowFields>
  <rowItems count="8">
    <i>
      <x v="5"/>
    </i>
    <i>
      <x v="6"/>
    </i>
    <i>
      <x v="4"/>
    </i>
    <i>
      <x v="2"/>
    </i>
    <i>
      <x/>
    </i>
    <i>
      <x v="1"/>
    </i>
    <i>
      <x v="3"/>
    </i>
    <i t="grand">
      <x/>
    </i>
  </rowItems>
  <colItems count="1">
    <i/>
  </colItems>
  <dataFields count="1">
    <dataField name="Average of Price_per_sqft" fld="9" subtotal="average" baseField="2" baseItem="0" numFmtId="2"/>
  </dataFields>
  <chartFormats count="21">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 count="1" selected="0">
            <x v="6"/>
          </reference>
        </references>
      </pivotArea>
    </chartFormat>
    <chartFormat chart="13" format="12">
      <pivotArea type="data" outline="0" fieldPosition="0">
        <references count="2">
          <reference field="4294967294" count="1" selected="0">
            <x v="0"/>
          </reference>
          <reference field="2" count="1" selected="0">
            <x v="4"/>
          </reference>
        </references>
      </pivotArea>
    </chartFormat>
    <chartFormat chart="13" format="13">
      <pivotArea type="data" outline="0" fieldPosition="0">
        <references count="2">
          <reference field="4294967294" count="1" selected="0">
            <x v="0"/>
          </reference>
          <reference field="2" count="1" selected="0">
            <x v="2"/>
          </reference>
        </references>
      </pivotArea>
    </chartFormat>
    <chartFormat chart="13" format="14">
      <pivotArea type="data" outline="0" fieldPosition="0">
        <references count="2">
          <reference field="4294967294" count="1" selected="0">
            <x v="0"/>
          </reference>
          <reference field="2" count="1" selected="0">
            <x v="0"/>
          </reference>
        </references>
      </pivotArea>
    </chartFormat>
    <chartFormat chart="13" format="15">
      <pivotArea type="data" outline="0" fieldPosition="0">
        <references count="2">
          <reference field="4294967294" count="1" selected="0">
            <x v="0"/>
          </reference>
          <reference field="2" count="1" selected="0">
            <x v="1"/>
          </reference>
        </references>
      </pivotArea>
    </chartFormat>
    <chartFormat chart="13" format="16">
      <pivotArea type="data" outline="0" fieldPosition="0">
        <references count="2">
          <reference field="4294967294" count="1" selected="0">
            <x v="0"/>
          </reference>
          <reference field="2" count="1" selected="0">
            <x v="3"/>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2" count="1" selected="0">
            <x v="6"/>
          </reference>
        </references>
      </pivotArea>
    </chartFormat>
    <chartFormat chart="14" format="19">
      <pivotArea type="data" outline="0" fieldPosition="0">
        <references count="2">
          <reference field="4294967294" count="1" selected="0">
            <x v="0"/>
          </reference>
          <reference field="2" count="1" selected="0">
            <x v="4"/>
          </reference>
        </references>
      </pivotArea>
    </chartFormat>
    <chartFormat chart="14" format="20">
      <pivotArea type="data" outline="0" fieldPosition="0">
        <references count="2">
          <reference field="4294967294" count="1" selected="0">
            <x v="0"/>
          </reference>
          <reference field="2" count="1" selected="0">
            <x v="2"/>
          </reference>
        </references>
      </pivotArea>
    </chartFormat>
    <chartFormat chart="14" format="21">
      <pivotArea type="data" outline="0" fieldPosition="0">
        <references count="2">
          <reference field="4294967294" count="1" selected="0">
            <x v="0"/>
          </reference>
          <reference field="2" count="1" selected="0">
            <x v="0"/>
          </reference>
        </references>
      </pivotArea>
    </chartFormat>
    <chartFormat chart="14" format="22">
      <pivotArea type="data" outline="0" fieldPosition="0">
        <references count="2">
          <reference field="4294967294" count="1" selected="0">
            <x v="0"/>
          </reference>
          <reference field="2" count="1" selected="0">
            <x v="1"/>
          </reference>
        </references>
      </pivotArea>
    </chartFormat>
    <chartFormat chart="14" format="23">
      <pivotArea type="data" outline="0" fieldPosition="0">
        <references count="2">
          <reference field="4294967294" count="1" selected="0">
            <x v="0"/>
          </reference>
          <reference field="2" count="1" selected="0">
            <x v="3"/>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2" count="1" selected="0">
            <x v="6"/>
          </reference>
        </references>
      </pivotArea>
    </chartFormat>
    <chartFormat chart="16" format="19">
      <pivotArea type="data" outline="0" fieldPosition="0">
        <references count="2">
          <reference field="4294967294" count="1" selected="0">
            <x v="0"/>
          </reference>
          <reference field="2" count="1" selected="0">
            <x v="4"/>
          </reference>
        </references>
      </pivotArea>
    </chartFormat>
    <chartFormat chart="16" format="20">
      <pivotArea type="data" outline="0" fieldPosition="0">
        <references count="2">
          <reference field="4294967294" count="1" selected="0">
            <x v="0"/>
          </reference>
          <reference field="2" count="1" selected="0">
            <x v="2"/>
          </reference>
        </references>
      </pivotArea>
    </chartFormat>
    <chartFormat chart="16" format="21">
      <pivotArea type="data" outline="0" fieldPosition="0">
        <references count="2">
          <reference field="4294967294" count="1" selected="0">
            <x v="0"/>
          </reference>
          <reference field="2" count="1" selected="0">
            <x v="0"/>
          </reference>
        </references>
      </pivotArea>
    </chartFormat>
    <chartFormat chart="16" format="22">
      <pivotArea type="data" outline="0" fieldPosition="0">
        <references count="2">
          <reference field="4294967294" count="1" selected="0">
            <x v="0"/>
          </reference>
          <reference field="2" count="1" selected="0">
            <x v="1"/>
          </reference>
        </references>
      </pivotArea>
    </chartFormat>
    <chartFormat chart="16" format="2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7318E3-DB9B-41A5-8B1C-5430728CF76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G13:H17" firstHeaderRow="1" firstDataRow="1" firstDataCol="1"/>
  <pivotFields count="14">
    <pivotField dataField="1" showAll="0"/>
    <pivotField numFmtId="164" showAll="0"/>
    <pivotField showAll="0"/>
    <pivotField showAll="0"/>
    <pivotField showAll="0">
      <items count="5">
        <item h="1" x="1"/>
        <item x="0"/>
        <item h="1" x="3"/>
        <item h="1" x="2"/>
        <item t="default"/>
      </items>
    </pivotField>
    <pivotField showAll="0"/>
    <pivotField showAll="0"/>
    <pivotField showAll="0"/>
    <pivotField numFmtId="165" showAll="0"/>
    <pivotField numFmtId="2" showAll="0"/>
    <pivotField showAll="0"/>
    <pivotField showAll="0"/>
    <pivotField axis="axisRow" showAll="0">
      <items count="4">
        <item x="0"/>
        <item x="1"/>
        <item x="2"/>
        <item t="default"/>
      </items>
    </pivotField>
    <pivotField showAll="0"/>
  </pivotFields>
  <rowFields count="1">
    <field x="12"/>
  </rowFields>
  <rowItems count="4">
    <i>
      <x/>
    </i>
    <i>
      <x v="1"/>
    </i>
    <i>
      <x v="2"/>
    </i>
    <i t="grand">
      <x/>
    </i>
  </rowItems>
  <colItems count="1">
    <i/>
  </colItems>
  <dataFields count="1">
    <dataField name="Count of Property_ID" fld="0" subtotal="count" showDataAs="percentOfTotal" baseField="13" baseItem="0" numFmtId="10"/>
  </dataFields>
  <chartFormats count="1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2"/>
          </reference>
        </references>
      </pivotArea>
    </chartFormat>
    <chartFormat chart="7" format="3">
      <pivotArea type="data" outline="0" fieldPosition="0">
        <references count="2">
          <reference field="4294967294" count="1" selected="0">
            <x v="0"/>
          </reference>
          <reference field="12"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2" count="1" selected="0">
            <x v="0"/>
          </reference>
        </references>
      </pivotArea>
    </chartFormat>
    <chartFormat chart="10" format="6">
      <pivotArea type="data" outline="0" fieldPosition="0">
        <references count="2">
          <reference field="4294967294" count="1" selected="0">
            <x v="0"/>
          </reference>
          <reference field="12" count="1" selected="0">
            <x v="1"/>
          </reference>
        </references>
      </pivotArea>
    </chartFormat>
    <chartFormat chart="10" format="7">
      <pivotArea type="data" outline="0" fieldPosition="0">
        <references count="2">
          <reference field="4294967294" count="1" selected="0">
            <x v="0"/>
          </reference>
          <reference field="12" count="1" selected="0">
            <x v="2"/>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12" count="1" selected="0">
            <x v="0"/>
          </reference>
        </references>
      </pivotArea>
    </chartFormat>
    <chartFormat chart="18" format="18">
      <pivotArea type="data" outline="0" fieldPosition="0">
        <references count="2">
          <reference field="4294967294" count="1" selected="0">
            <x v="0"/>
          </reference>
          <reference field="12" count="1" selected="0">
            <x v="1"/>
          </reference>
        </references>
      </pivotArea>
    </chartFormat>
    <chartFormat chart="18" format="19">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23DBA2-6E93-463E-A8AA-16AEE43E7718}"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D13:E18" firstHeaderRow="1" firstDataRow="1" firstDataCol="1"/>
  <pivotFields count="14">
    <pivotField showAll="0"/>
    <pivotField numFmtId="164" showAll="0"/>
    <pivotField showAll="0"/>
    <pivotField showAll="0"/>
    <pivotField axis="axisRow" showAll="0">
      <items count="5">
        <item x="1"/>
        <item x="0"/>
        <item x="3"/>
        <item x="2"/>
        <item t="default"/>
      </items>
    </pivotField>
    <pivotField showAll="0"/>
    <pivotField showAll="0"/>
    <pivotField showAll="0"/>
    <pivotField dataField="1" showAll="0"/>
    <pivotField numFmtId="2" showAll="0"/>
    <pivotField showAll="0"/>
    <pivotField showAll="0"/>
    <pivotField showAll="0"/>
    <pivotField showAll="0"/>
  </pivotFields>
  <rowFields count="1">
    <field x="4"/>
  </rowFields>
  <rowItems count="5">
    <i>
      <x/>
    </i>
    <i>
      <x v="1"/>
    </i>
    <i>
      <x v="2"/>
    </i>
    <i>
      <x v="3"/>
    </i>
    <i t="grand">
      <x/>
    </i>
  </rowItems>
  <colItems count="1">
    <i/>
  </colItems>
  <dataFields count="1">
    <dataField name="Average of Price" fld="8" subtotal="average" baseField="4" baseItem="0" numFmtId="166"/>
  </dataFields>
  <chartFormats count="5">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4" count="1" selected="0">
            <x v="0"/>
          </reference>
        </references>
      </pivotArea>
    </chartFormat>
    <chartFormat chart="12" format="14">
      <pivotArea type="data" outline="0" fieldPosition="0">
        <references count="2">
          <reference field="4294967294" count="1" selected="0">
            <x v="0"/>
          </reference>
          <reference field="4" count="1" selected="0">
            <x v="1"/>
          </reference>
        </references>
      </pivotArea>
    </chartFormat>
    <chartFormat chart="12" format="15">
      <pivotArea type="data" outline="0" fieldPosition="0">
        <references count="2">
          <reference field="4294967294" count="1" selected="0">
            <x v="0"/>
          </reference>
          <reference field="4" count="1" selected="0">
            <x v="2"/>
          </reference>
        </references>
      </pivotArea>
    </chartFormat>
    <chartFormat chart="12" format="1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B2D137-5414-4C94-8FBC-84F5B048218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3:H9" firstHeaderRow="1" firstDataRow="1" firstDataCol="1"/>
  <pivotFields count="14">
    <pivotField showAll="0"/>
    <pivotField numFmtId="164" showAll="0"/>
    <pivotField showAll="0"/>
    <pivotField showAll="0"/>
    <pivotField showAll="0">
      <items count="5">
        <item h="1" x="1"/>
        <item x="0"/>
        <item h="1" x="3"/>
        <item h="1" x="2"/>
        <item t="default"/>
      </items>
    </pivotField>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2" showAll="0"/>
    <pivotField showAll="0"/>
    <pivotField showAll="0"/>
    <pivotField showAll="0"/>
    <pivotField showAll="0"/>
  </pivotFields>
  <rowFields count="1">
    <field x="5"/>
  </rowFields>
  <rowItems count="6">
    <i>
      <x v="4"/>
    </i>
    <i>
      <x v="3"/>
    </i>
    <i>
      <x v="2"/>
    </i>
    <i>
      <x v="1"/>
    </i>
    <i>
      <x/>
    </i>
    <i t="grand">
      <x/>
    </i>
  </rowItems>
  <colItems count="1">
    <i/>
  </colItems>
  <dataFields count="1">
    <dataField name="Average of Price" fld="8" subtotal="average" baseField="6"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D95DF3-6EAB-4FEC-AD8A-5023B7FC6CA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G23:H27" firstHeaderRow="1" firstDataRow="1" firstDataCol="1"/>
  <pivotFields count="14">
    <pivotField showAll="0"/>
    <pivotField numFmtId="164" showAll="0"/>
    <pivotField showAll="0"/>
    <pivotField showAll="0"/>
    <pivotField showAll="0"/>
    <pivotField showAll="0"/>
    <pivotField showAll="0"/>
    <pivotField showAll="0"/>
    <pivotField dataField="1" numFmtId="165" showAll="0"/>
    <pivotField numFmtId="2" showAll="0"/>
    <pivotField axis="axisRow" showAll="0" sortType="descending">
      <items count="5">
        <item m="1"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0"/>
  </rowFields>
  <rowItems count="4">
    <i>
      <x v="3"/>
    </i>
    <i>
      <x v="1"/>
    </i>
    <i>
      <x v="2"/>
    </i>
    <i t="grand">
      <x/>
    </i>
  </rowItems>
  <colItems count="1">
    <i/>
  </colItems>
  <dataFields count="1">
    <dataField name="Average of Price" fld="8" subtotal="average" baseField="11" baseItem="3"/>
  </dataFields>
  <formats count="1">
    <format dxfId="16">
      <pivotArea dataOnly="0" labelOnly="1" fieldPosition="0">
        <references count="1">
          <reference field="10" count="1">
            <x v="3"/>
          </reference>
        </references>
      </pivotArea>
    </format>
  </formats>
  <chartFormats count="4">
    <chartFormat chart="1"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0" count="1" selected="0">
            <x v="1"/>
          </reference>
        </references>
      </pivotArea>
    </chartFormat>
    <chartFormat chart="12"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D7281B-7B61-46D3-8350-049912A31C0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6:B42" firstHeaderRow="1" firstDataRow="1" firstDataCol="1"/>
  <pivotFields count="14">
    <pivotField showAll="0"/>
    <pivotField numFmtId="164" showAll="0"/>
    <pivotField showAll="0"/>
    <pivotField axis="axisRow" showAll="0" sortType="descending">
      <items count="26">
        <item x="22"/>
        <item x="3"/>
        <item x="4"/>
        <item x="23"/>
        <item x="18"/>
        <item x="10"/>
        <item x="20"/>
        <item x="8"/>
        <item x="6"/>
        <item x="7"/>
        <item x="0"/>
        <item x="19"/>
        <item x="11"/>
        <item x="21"/>
        <item x="1"/>
        <item x="13"/>
        <item x="17"/>
        <item x="15"/>
        <item x="5"/>
        <item x="12"/>
        <item x="14"/>
        <item x="9"/>
        <item x="24"/>
        <item x="16"/>
        <item x="2"/>
        <item t="default"/>
      </items>
    </pivotField>
    <pivotField showAll="0"/>
    <pivotField showAll="0"/>
    <pivotField showAll="0"/>
    <pivotField showAll="0"/>
    <pivotField dataField="1" showAll="0"/>
    <pivotField numFmtId="2" showAll="0"/>
    <pivotField showAll="0"/>
    <pivotField showAll="0"/>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Price" fld="8" subtotal="average" baseField="3" baseItem="6" numFmtId="165"/>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BB544D-C68C-40BD-9594-20DFB3163A0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K3:L11" firstHeaderRow="1" firstDataRow="1" firstDataCol="1"/>
  <pivotFields count="14">
    <pivotField showAll="0"/>
    <pivotField dataField="1" numFmtId="164" showAll="0"/>
    <pivotField showAll="0"/>
    <pivotField showAll="0"/>
    <pivotField showAll="0"/>
    <pivotField showAll="0"/>
    <pivotField showAll="0"/>
    <pivotField showAll="0"/>
    <pivotField numFmtId="165" showAll="0"/>
    <pivotField numFmtId="2" showAll="0"/>
    <pivotField showAll="0"/>
    <pivotField showAll="0"/>
    <pivotField showAll="0"/>
    <pivotField axis="axisRow" showAll="0" sortType="ascending">
      <items count="8">
        <item x="5"/>
        <item x="3"/>
        <item x="2"/>
        <item x="0"/>
        <item x="1"/>
        <item x="4"/>
        <item x="6"/>
        <item t="default"/>
      </items>
      <autoSortScope>
        <pivotArea dataOnly="0" outline="0" fieldPosition="0">
          <references count="1">
            <reference field="4294967294" count="1" selected="0">
              <x v="0"/>
            </reference>
          </references>
        </pivotArea>
      </autoSortScope>
    </pivotField>
  </pivotFields>
  <rowFields count="1">
    <field x="13"/>
  </rowFields>
  <rowItems count="8">
    <i>
      <x v="6"/>
    </i>
    <i>
      <x/>
    </i>
    <i>
      <x v="3"/>
    </i>
    <i>
      <x v="4"/>
    </i>
    <i>
      <x v="5"/>
    </i>
    <i>
      <x v="1"/>
    </i>
    <i>
      <x v="2"/>
    </i>
    <i t="grand">
      <x/>
    </i>
  </rowItems>
  <colItems count="1">
    <i/>
  </colItems>
  <dataFields count="1">
    <dataField name="Count of Listing_Date"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70ECCC-D30A-4A50-BABC-BE5F962C210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3:E8" firstHeaderRow="1" firstDataRow="1" firstDataCol="1"/>
  <pivotFields count="14">
    <pivotField dataField="1" showAll="0"/>
    <pivotField numFmtId="164"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showAll="0"/>
    <pivotField showAll="0"/>
    <pivotField showAll="0"/>
    <pivotField showAll="0"/>
  </pivotFields>
  <rowFields count="1">
    <field x="4"/>
  </rowFields>
  <rowItems count="5">
    <i>
      <x v="2"/>
    </i>
    <i>
      <x/>
    </i>
    <i>
      <x v="1"/>
    </i>
    <i>
      <x v="3"/>
    </i>
    <i t="grand">
      <x/>
    </i>
  </rowItems>
  <colItems count="1">
    <i/>
  </colItems>
  <dataFields count="1">
    <dataField name="Count of Property_ID" fld="0" subtotal="count" baseField="0" baseItem="0"/>
  </dataFields>
  <chartFormats count="1">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40816B-AA84-4E35-BD4A-775E7E594B7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K14:O15" firstHeaderRow="0" firstDataRow="1" firstDataCol="0"/>
  <pivotFields count="14">
    <pivotField dataField="1" showAll="0"/>
    <pivotField numFmtId="164" showAll="0"/>
    <pivotField showAll="0"/>
    <pivotField showAll="0"/>
    <pivotField showAll="0">
      <items count="5">
        <item x="1"/>
        <item x="0"/>
        <item x="3"/>
        <item x="2"/>
        <item t="default"/>
      </items>
    </pivotField>
    <pivotField showAll="0"/>
    <pivotField showAll="0"/>
    <pivotField dataField="1" showAll="0"/>
    <pivotField dataField="1" numFmtId="165" showAll="0"/>
    <pivotField dataField="1" numFmtId="2" showAll="0"/>
    <pivotField showAll="0"/>
    <pivotField showAll="0"/>
    <pivotField dataField="1" showAll="0"/>
    <pivotField showAll="0"/>
  </pivotFields>
  <rowItems count="1">
    <i/>
  </rowItems>
  <colFields count="1">
    <field x="-2"/>
  </colFields>
  <colItems count="5">
    <i>
      <x/>
    </i>
    <i i="1">
      <x v="1"/>
    </i>
    <i i="2">
      <x v="2"/>
    </i>
    <i i="3">
      <x v="3"/>
    </i>
    <i i="4">
      <x v="4"/>
    </i>
  </colItems>
  <dataFields count="5">
    <dataField name="Count of Property_ID" fld="0" subtotal="count" baseField="0" baseItem="0"/>
    <dataField name="Average of Price" fld="8" subtotal="average" baseField="0" baseItem="1"/>
    <dataField name="Average of Area_sqft" fld="7" subtotal="average" baseField="0" baseItem="2"/>
    <dataField name="Average of Price_per_sqft" fld="9" subtotal="average" baseField="0" baseItem="2"/>
    <dataField name="Count of Property_Statu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C5D7D3-A6C1-40DC-9DF0-96550FF1DB3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3:B11" firstHeaderRow="1" firstDataRow="1" firstDataCol="1"/>
  <pivotFields count="14">
    <pivotField dataField="1" showAll="0"/>
    <pivotField numFmtId="164" showAll="0"/>
    <pivotField axis="axisRow" showAll="0" sortType="descending">
      <items count="8">
        <item x="3"/>
        <item x="1"/>
        <item x="0"/>
        <item x="6"/>
        <item x="4"/>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2" showAll="0"/>
    <pivotField showAll="0"/>
    <pivotField showAll="0"/>
    <pivotField showAll="0"/>
    <pivotField showAll="0"/>
  </pivotFields>
  <rowFields count="1">
    <field x="2"/>
  </rowFields>
  <rowItems count="8">
    <i>
      <x/>
    </i>
    <i>
      <x v="4"/>
    </i>
    <i>
      <x v="3"/>
    </i>
    <i>
      <x v="2"/>
    </i>
    <i>
      <x v="1"/>
    </i>
    <i>
      <x v="5"/>
    </i>
    <i>
      <x v="6"/>
    </i>
    <i t="grand">
      <x/>
    </i>
  </rowItems>
  <colItems count="1">
    <i/>
  </colItems>
  <dataFields count="1">
    <dataField name="Count of Property_ID" fld="0" subtotal="count" baseField="0" baseItem="0"/>
  </dataFields>
  <chartFormats count="8">
    <chartFormat chart="23" format="50" series="1">
      <pivotArea type="data" outline="0" fieldPosition="0">
        <references count="1">
          <reference field="4294967294" count="1" selected="0">
            <x v="0"/>
          </reference>
        </references>
      </pivotArea>
    </chartFormat>
    <chartFormat chart="23" format="51">
      <pivotArea type="data" outline="0" fieldPosition="0">
        <references count="2">
          <reference field="4294967294" count="1" selected="0">
            <x v="0"/>
          </reference>
          <reference field="2" count="1" selected="0">
            <x v="0"/>
          </reference>
        </references>
      </pivotArea>
    </chartFormat>
    <chartFormat chart="23" format="52">
      <pivotArea type="data" outline="0" fieldPosition="0">
        <references count="2">
          <reference field="4294967294" count="1" selected="0">
            <x v="0"/>
          </reference>
          <reference field="2" count="1" selected="0">
            <x v="4"/>
          </reference>
        </references>
      </pivotArea>
    </chartFormat>
    <chartFormat chart="23" format="53">
      <pivotArea type="data" outline="0" fieldPosition="0">
        <references count="2">
          <reference field="4294967294" count="1" selected="0">
            <x v="0"/>
          </reference>
          <reference field="2" count="1" selected="0">
            <x v="3"/>
          </reference>
        </references>
      </pivotArea>
    </chartFormat>
    <chartFormat chart="23" format="54">
      <pivotArea type="data" outline="0" fieldPosition="0">
        <references count="2">
          <reference field="4294967294" count="1" selected="0">
            <x v="0"/>
          </reference>
          <reference field="2" count="1" selected="0">
            <x v="2"/>
          </reference>
        </references>
      </pivotArea>
    </chartFormat>
    <chartFormat chart="23" format="55">
      <pivotArea type="data" outline="0" fieldPosition="0">
        <references count="2">
          <reference field="4294967294" count="1" selected="0">
            <x v="0"/>
          </reference>
          <reference field="2" count="1" selected="0">
            <x v="1"/>
          </reference>
        </references>
      </pivotArea>
    </chartFormat>
    <chartFormat chart="23" format="56">
      <pivotArea type="data" outline="0" fieldPosition="0">
        <references count="2">
          <reference field="4294967294" count="1" selected="0">
            <x v="0"/>
          </reference>
          <reference field="2" count="1" selected="0">
            <x v="5"/>
          </reference>
        </references>
      </pivotArea>
    </chartFormat>
    <chartFormat chart="23" format="5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3FB644AB-D23E-4166-B694-899953257C2B}" sourceName="Property_Type">
  <data>
    <tabular pivotCacheId="1030609248">
      <items count="4">
        <i x="1"/>
        <i x="0"/>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Type" xr10:uid="{BA77844E-8863-445B-84BC-1CBA3CADB0C4}" cache="Slicer_Property_Type" caption="Property_Typ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20638B-826E-4D34-A245-CC066402F7BE}" name="Table1" displayName="Table1" ref="B1:O511" totalsRowShown="0" headerRowDxfId="15" dataDxfId="14">
  <autoFilter ref="B1:O511" xr:uid="{AC20638B-826E-4D34-A245-CC066402F7BE}"/>
  <sortState xmlns:xlrd2="http://schemas.microsoft.com/office/spreadsheetml/2017/richdata2" ref="B2:O511">
    <sortCondition descending="1" ref="I6:I511"/>
  </sortState>
  <tableColumns count="14">
    <tableColumn id="1" xr3:uid="{A661AFB0-74FF-4095-A440-7C868A28F06C}" name="Property_ID" dataDxfId="13"/>
    <tableColumn id="2" xr3:uid="{DB3F396A-537A-4407-A57A-EFA8E629B7B2}" name="Listing_Date" dataDxfId="12"/>
    <tableColumn id="3" xr3:uid="{DB691528-6AC6-45CC-ABA9-A46C2C88D354}" name="City" dataDxfId="11"/>
    <tableColumn id="4" xr3:uid="{16C19217-D092-4154-B5B9-32A270A979C2}" name="Location" dataDxfId="10"/>
    <tableColumn id="5" xr3:uid="{56BD4F34-30F4-4771-A505-A8EA7681A65A}" name="Property_Type" dataDxfId="9"/>
    <tableColumn id="6" xr3:uid="{792361B5-1967-439D-88ED-A9C8ED8D0E8B}" name="Bedrooms" dataDxfId="8"/>
    <tableColumn id="7" xr3:uid="{67BADC3E-1735-41DB-8FAF-A06FDF3B5B0E}" name="Bathrooms" dataDxfId="7"/>
    <tableColumn id="8" xr3:uid="{112DE6CC-0C6B-46FB-B278-563447DE2CC5}" name="Area_sqft" dataDxfId="6"/>
    <tableColumn id="9" xr3:uid="{0616ACF9-7180-4DD4-BE84-362F858603AF}" name="Price" dataDxfId="5" dataCellStyle="Currency"/>
    <tableColumn id="15" xr3:uid="{88EC1610-AE63-4214-B9A8-5B886F480187}" name="Price_per_sqft" dataDxfId="4" dataCellStyle="Currency">
      <calculatedColumnFormula>J2/I2</calculatedColumnFormula>
    </tableColumn>
    <tableColumn id="10" xr3:uid="{6B1DECDC-75FF-4864-98FB-F8BA60FF95F3}" name="Furnishing" dataDxfId="3"/>
    <tableColumn id="11" xr3:uid="{2EFF25D7-C50D-402E-B4D1-12C6BA0335DF}" name="Parking" dataDxfId="2"/>
    <tableColumn id="12" xr3:uid="{A0F14181-6ABA-4681-A880-5BF603546D64}" name="Property_Status" dataDxfId="1"/>
    <tableColumn id="13" xr3:uid="{E3D9FA55-E1B3-4066-8253-5BCFF75BAD52}" name="Agent_Name"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1"/>
  <sheetViews>
    <sheetView tabSelected="1" topLeftCell="B1" workbookViewId="0">
      <selection activeCell="E36" sqref="E36"/>
    </sheetView>
  </sheetViews>
  <sheetFormatPr defaultRowHeight="14.25"/>
  <cols>
    <col min="1" max="1" width="8.375" customWidth="1"/>
    <col min="2" max="2" width="13.875" customWidth="1"/>
    <col min="3" max="3" width="19" customWidth="1"/>
    <col min="4" max="4" width="29.625" customWidth="1"/>
    <col min="5" max="5" width="19.5" customWidth="1"/>
    <col min="6" max="6" width="18.125" customWidth="1"/>
    <col min="7" max="7" width="16" customWidth="1"/>
    <col min="8" max="8" width="22.5" customWidth="1"/>
    <col min="9" max="10" width="16" customWidth="1"/>
    <col min="11" max="11" width="16" style="14" customWidth="1"/>
    <col min="12" max="12" width="16" customWidth="1"/>
    <col min="13" max="13" width="17.5" customWidth="1"/>
    <col min="14" max="14" width="16" customWidth="1"/>
    <col min="15" max="15" width="17.125" customWidth="1"/>
    <col min="16" max="16" width="13.25" customWidth="1"/>
  </cols>
  <sheetData>
    <row r="1" spans="1:15" s="4" customFormat="1" ht="16.5">
      <c r="A1" s="9"/>
      <c r="B1" s="2" t="s">
        <v>0</v>
      </c>
      <c r="C1" s="2" t="s">
        <v>1</v>
      </c>
      <c r="D1" s="2" t="s">
        <v>2</v>
      </c>
      <c r="E1" s="2" t="s">
        <v>3</v>
      </c>
      <c r="F1" s="2" t="s">
        <v>4</v>
      </c>
      <c r="G1" s="2" t="s">
        <v>5</v>
      </c>
      <c r="H1" s="2" t="s">
        <v>6</v>
      </c>
      <c r="I1" s="2" t="s">
        <v>7</v>
      </c>
      <c r="J1" s="12" t="s">
        <v>8</v>
      </c>
      <c r="K1" s="12" t="s">
        <v>568</v>
      </c>
      <c r="L1" s="2" t="s">
        <v>9</v>
      </c>
      <c r="M1" s="2" t="s">
        <v>10</v>
      </c>
      <c r="N1" s="2" t="s">
        <v>11</v>
      </c>
      <c r="O1" s="2" t="s">
        <v>12</v>
      </c>
    </row>
    <row r="2" spans="1:15" s="4" customFormat="1">
      <c r="A2" s="4">
        <v>1</v>
      </c>
      <c r="B2" s="5" t="s">
        <v>90</v>
      </c>
      <c r="C2" s="3">
        <v>45866</v>
      </c>
      <c r="D2" s="5" t="s">
        <v>14</v>
      </c>
      <c r="E2" s="5" t="s">
        <v>567</v>
      </c>
      <c r="F2" s="5" t="s">
        <v>34</v>
      </c>
      <c r="G2" s="5">
        <v>5</v>
      </c>
      <c r="H2" s="5">
        <v>4</v>
      </c>
      <c r="I2" s="5">
        <v>3399</v>
      </c>
      <c r="J2" s="13">
        <v>2342400</v>
      </c>
      <c r="K2" s="15">
        <f t="shared" ref="K2:K65" si="0">J2/I2</f>
        <v>689.14386584289502</v>
      </c>
      <c r="L2" s="5" t="s">
        <v>24</v>
      </c>
      <c r="M2" s="5" t="s">
        <v>29</v>
      </c>
      <c r="N2" s="5" t="s">
        <v>18</v>
      </c>
      <c r="O2" s="5" t="s">
        <v>46</v>
      </c>
    </row>
    <row r="3" spans="1:15" s="4" customFormat="1">
      <c r="A3" s="4">
        <v>2</v>
      </c>
      <c r="B3" s="5" t="s">
        <v>232</v>
      </c>
      <c r="C3" s="3">
        <v>45986</v>
      </c>
      <c r="D3" s="5" t="s">
        <v>44</v>
      </c>
      <c r="E3" s="5" t="s">
        <v>45</v>
      </c>
      <c r="F3" s="5" t="s">
        <v>34</v>
      </c>
      <c r="G3" s="5">
        <v>5</v>
      </c>
      <c r="H3" s="5">
        <v>4</v>
      </c>
      <c r="I3" s="5">
        <v>3368</v>
      </c>
      <c r="J3" s="13">
        <v>764200</v>
      </c>
      <c r="K3" s="15">
        <f t="shared" si="0"/>
        <v>226.90023752969122</v>
      </c>
      <c r="L3" s="5" t="s">
        <v>24</v>
      </c>
      <c r="M3" s="5" t="s">
        <v>17</v>
      </c>
      <c r="N3" s="5" t="s">
        <v>41</v>
      </c>
      <c r="O3" s="5" t="s">
        <v>46</v>
      </c>
    </row>
    <row r="4" spans="1:15" s="4" customFormat="1">
      <c r="A4" s="4">
        <v>3</v>
      </c>
      <c r="B4" s="5" t="s">
        <v>372</v>
      </c>
      <c r="C4" s="3">
        <v>45997</v>
      </c>
      <c r="D4" s="5" t="s">
        <v>27</v>
      </c>
      <c r="E4" s="5" t="s">
        <v>79</v>
      </c>
      <c r="F4" s="5" t="s">
        <v>15</v>
      </c>
      <c r="G4" s="5">
        <v>5</v>
      </c>
      <c r="H4" s="5">
        <v>4</v>
      </c>
      <c r="I4" s="5">
        <v>3233</v>
      </c>
      <c r="J4" s="13">
        <v>2219800</v>
      </c>
      <c r="K4" s="15">
        <f t="shared" si="0"/>
        <v>686.60686668728738</v>
      </c>
      <c r="L4" s="5" t="s">
        <v>53</v>
      </c>
      <c r="M4" s="5" t="s">
        <v>29</v>
      </c>
      <c r="N4" s="5" t="s">
        <v>30</v>
      </c>
      <c r="O4" s="5" t="s">
        <v>37</v>
      </c>
    </row>
    <row r="5" spans="1:15" s="4" customFormat="1">
      <c r="A5" s="4">
        <v>4</v>
      </c>
      <c r="B5" s="5" t="s">
        <v>422</v>
      </c>
      <c r="C5" s="3">
        <v>45987</v>
      </c>
      <c r="D5" s="5" t="s">
        <v>39</v>
      </c>
      <c r="E5" s="5" t="s">
        <v>72</v>
      </c>
      <c r="F5" s="5" t="s">
        <v>15</v>
      </c>
      <c r="G5" s="5">
        <v>5</v>
      </c>
      <c r="H5" s="5">
        <v>4</v>
      </c>
      <c r="I5" s="5">
        <v>3142</v>
      </c>
      <c r="J5" s="13">
        <v>1836900</v>
      </c>
      <c r="K5" s="15">
        <f t="shared" si="0"/>
        <v>584.62762571610438</v>
      </c>
      <c r="L5" s="5" t="s">
        <v>16</v>
      </c>
      <c r="M5" s="5" t="s">
        <v>17</v>
      </c>
      <c r="N5" s="5" t="s">
        <v>30</v>
      </c>
      <c r="O5" s="5" t="s">
        <v>37</v>
      </c>
    </row>
    <row r="6" spans="1:15" s="4" customFormat="1">
      <c r="A6" s="4">
        <v>5</v>
      </c>
      <c r="B6" s="5" t="s">
        <v>179</v>
      </c>
      <c r="C6" s="3">
        <v>45976</v>
      </c>
      <c r="D6" s="5" t="s">
        <v>27</v>
      </c>
      <c r="E6" s="5" t="s">
        <v>79</v>
      </c>
      <c r="F6" s="5" t="s">
        <v>52</v>
      </c>
      <c r="G6" s="5">
        <v>5</v>
      </c>
      <c r="H6" s="5">
        <v>4</v>
      </c>
      <c r="I6" s="5">
        <v>3140</v>
      </c>
      <c r="J6" s="13">
        <v>2638200</v>
      </c>
      <c r="K6" s="15">
        <f t="shared" si="0"/>
        <v>840.19108280254773</v>
      </c>
      <c r="L6" s="5" t="s">
        <v>24</v>
      </c>
      <c r="M6" s="5" t="s">
        <v>29</v>
      </c>
      <c r="N6" s="5" t="s">
        <v>41</v>
      </c>
      <c r="O6" s="5" t="s">
        <v>42</v>
      </c>
    </row>
    <row r="7" spans="1:15" s="4" customFormat="1">
      <c r="A7" s="4">
        <v>6</v>
      </c>
      <c r="B7" s="5" t="s">
        <v>284</v>
      </c>
      <c r="C7" s="3">
        <v>45869</v>
      </c>
      <c r="D7" s="5" t="s">
        <v>14</v>
      </c>
      <c r="E7" s="5" t="s">
        <v>567</v>
      </c>
      <c r="F7" s="5" t="s">
        <v>15</v>
      </c>
      <c r="G7" s="5">
        <v>5</v>
      </c>
      <c r="H7" s="5">
        <v>5</v>
      </c>
      <c r="I7" s="5">
        <v>3129</v>
      </c>
      <c r="J7" s="13">
        <v>1869600</v>
      </c>
      <c r="K7" s="15">
        <f t="shared" si="0"/>
        <v>597.50719079578141</v>
      </c>
      <c r="L7" s="5" t="s">
        <v>16</v>
      </c>
      <c r="M7" s="5" t="s">
        <v>29</v>
      </c>
      <c r="N7" s="5" t="s">
        <v>18</v>
      </c>
      <c r="O7" s="5" t="s">
        <v>42</v>
      </c>
    </row>
    <row r="8" spans="1:15" s="4" customFormat="1">
      <c r="A8" s="4">
        <v>7</v>
      </c>
      <c r="B8" s="5" t="s">
        <v>420</v>
      </c>
      <c r="C8" s="3">
        <v>45867</v>
      </c>
      <c r="D8" s="5" t="s">
        <v>39</v>
      </c>
      <c r="E8" s="5" t="s">
        <v>72</v>
      </c>
      <c r="F8" s="5" t="s">
        <v>23</v>
      </c>
      <c r="G8" s="5">
        <v>5</v>
      </c>
      <c r="H8" s="5">
        <v>5</v>
      </c>
      <c r="I8" s="5">
        <v>3092</v>
      </c>
      <c r="J8" s="13">
        <v>1695900</v>
      </c>
      <c r="K8" s="15">
        <f t="shared" si="0"/>
        <v>548.47994825355761</v>
      </c>
      <c r="L8" s="5" t="s">
        <v>53</v>
      </c>
      <c r="M8" s="5" t="s">
        <v>29</v>
      </c>
      <c r="N8" s="5" t="s">
        <v>18</v>
      </c>
      <c r="O8" s="5" t="s">
        <v>35</v>
      </c>
    </row>
    <row r="9" spans="1:15" s="4" customFormat="1">
      <c r="A9" s="4">
        <v>8</v>
      </c>
      <c r="B9" s="5" t="s">
        <v>54</v>
      </c>
      <c r="C9" s="3">
        <v>45736</v>
      </c>
      <c r="D9" s="5" t="s">
        <v>44</v>
      </c>
      <c r="E9" s="5" t="s">
        <v>51</v>
      </c>
      <c r="F9" s="5" t="s">
        <v>15</v>
      </c>
      <c r="G9" s="5">
        <v>5</v>
      </c>
      <c r="H9" s="5">
        <v>5</v>
      </c>
      <c r="I9" s="5">
        <v>3072</v>
      </c>
      <c r="J9" s="13">
        <v>1435400</v>
      </c>
      <c r="K9" s="15">
        <f t="shared" si="0"/>
        <v>467.25260416666669</v>
      </c>
      <c r="L9" s="5" t="s">
        <v>53</v>
      </c>
      <c r="M9" s="5" t="s">
        <v>29</v>
      </c>
      <c r="N9" s="5" t="s">
        <v>41</v>
      </c>
      <c r="O9" s="5" t="s">
        <v>25</v>
      </c>
    </row>
    <row r="10" spans="1:15" s="4" customFormat="1">
      <c r="A10" s="4">
        <v>9</v>
      </c>
      <c r="B10" s="5" t="s">
        <v>528</v>
      </c>
      <c r="C10" s="3">
        <v>45884</v>
      </c>
      <c r="D10" s="5" t="s">
        <v>48</v>
      </c>
      <c r="E10" s="5" t="s">
        <v>58</v>
      </c>
      <c r="F10" s="5" t="s">
        <v>52</v>
      </c>
      <c r="G10" s="5">
        <v>5</v>
      </c>
      <c r="H10" s="5">
        <v>5</v>
      </c>
      <c r="I10" s="5">
        <v>3054</v>
      </c>
      <c r="J10" s="13">
        <v>1974300</v>
      </c>
      <c r="K10" s="15">
        <f t="shared" si="0"/>
        <v>646.46365422396855</v>
      </c>
      <c r="L10" s="5" t="s">
        <v>16</v>
      </c>
      <c r="M10" s="5" t="s">
        <v>29</v>
      </c>
      <c r="N10" s="5" t="s">
        <v>18</v>
      </c>
      <c r="O10" s="5" t="s">
        <v>25</v>
      </c>
    </row>
    <row r="11" spans="1:15" s="4" customFormat="1">
      <c r="A11" s="4">
        <v>10</v>
      </c>
      <c r="B11" s="5" t="s">
        <v>360</v>
      </c>
      <c r="C11" s="3">
        <v>45939</v>
      </c>
      <c r="D11" s="5" t="s">
        <v>21</v>
      </c>
      <c r="E11" s="5" t="s">
        <v>67</v>
      </c>
      <c r="F11" s="5" t="s">
        <v>34</v>
      </c>
      <c r="G11" s="5">
        <v>5</v>
      </c>
      <c r="H11" s="5">
        <v>5</v>
      </c>
      <c r="I11" s="5">
        <v>2949</v>
      </c>
      <c r="J11" s="13">
        <v>3144300</v>
      </c>
      <c r="K11" s="15">
        <f t="shared" si="0"/>
        <v>1066.2258392675483</v>
      </c>
      <c r="L11" s="5" t="s">
        <v>16</v>
      </c>
      <c r="M11" s="5" t="s">
        <v>29</v>
      </c>
      <c r="N11" s="5" t="s">
        <v>30</v>
      </c>
      <c r="O11" s="5" t="s">
        <v>19</v>
      </c>
    </row>
    <row r="12" spans="1:15" s="4" customFormat="1">
      <c r="A12" s="4">
        <v>11</v>
      </c>
      <c r="B12" s="5" t="s">
        <v>548</v>
      </c>
      <c r="C12" s="3">
        <v>45950</v>
      </c>
      <c r="D12" s="5" t="s">
        <v>48</v>
      </c>
      <c r="E12" s="5" t="s">
        <v>58</v>
      </c>
      <c r="F12" s="5" t="s">
        <v>15</v>
      </c>
      <c r="G12" s="5">
        <v>5</v>
      </c>
      <c r="H12" s="5">
        <v>4</v>
      </c>
      <c r="I12" s="5">
        <v>2943</v>
      </c>
      <c r="J12" s="13">
        <v>1947500</v>
      </c>
      <c r="K12" s="15">
        <f t="shared" si="0"/>
        <v>661.73972137274893</v>
      </c>
      <c r="L12" s="5" t="s">
        <v>24</v>
      </c>
      <c r="M12" s="5" t="s">
        <v>29</v>
      </c>
      <c r="N12" s="5" t="s">
        <v>18</v>
      </c>
      <c r="O12" s="5" t="s">
        <v>19</v>
      </c>
    </row>
    <row r="13" spans="1:15" s="4" customFormat="1">
      <c r="A13" s="4">
        <v>12</v>
      </c>
      <c r="B13" s="5" t="s">
        <v>356</v>
      </c>
      <c r="C13" s="3">
        <v>45825</v>
      </c>
      <c r="D13" s="5" t="s">
        <v>44</v>
      </c>
      <c r="E13" s="5" t="s">
        <v>100</v>
      </c>
      <c r="F13" s="5" t="s">
        <v>34</v>
      </c>
      <c r="G13" s="5">
        <v>5</v>
      </c>
      <c r="H13" s="5">
        <v>5</v>
      </c>
      <c r="I13" s="5">
        <v>2901</v>
      </c>
      <c r="J13" s="13">
        <v>1507400</v>
      </c>
      <c r="K13" s="15">
        <f t="shared" si="0"/>
        <v>519.61392623233371</v>
      </c>
      <c r="L13" s="5" t="s">
        <v>53</v>
      </c>
      <c r="M13" s="5" t="s">
        <v>17</v>
      </c>
      <c r="N13" s="5" t="s">
        <v>30</v>
      </c>
      <c r="O13" s="5" t="s">
        <v>46</v>
      </c>
    </row>
    <row r="14" spans="1:15" s="4" customFormat="1">
      <c r="A14" s="4">
        <v>13</v>
      </c>
      <c r="B14" s="5" t="s">
        <v>160</v>
      </c>
      <c r="C14" s="3">
        <v>45716</v>
      </c>
      <c r="D14" s="5" t="s">
        <v>32</v>
      </c>
      <c r="E14" s="5" t="s">
        <v>77</v>
      </c>
      <c r="F14" s="5" t="s">
        <v>34</v>
      </c>
      <c r="G14" s="5">
        <v>5</v>
      </c>
      <c r="H14" s="5">
        <v>5</v>
      </c>
      <c r="I14" s="5">
        <v>2868</v>
      </c>
      <c r="J14" s="13">
        <v>1074500</v>
      </c>
      <c r="K14" s="15">
        <f t="shared" si="0"/>
        <v>374.65132496513252</v>
      </c>
      <c r="L14" s="5" t="s">
        <v>53</v>
      </c>
      <c r="M14" s="5" t="s">
        <v>29</v>
      </c>
      <c r="N14" s="5" t="s">
        <v>18</v>
      </c>
      <c r="O14" s="5" t="s">
        <v>46</v>
      </c>
    </row>
    <row r="15" spans="1:15" s="4" customFormat="1">
      <c r="A15" s="4">
        <v>14</v>
      </c>
      <c r="B15" s="5" t="s">
        <v>321</v>
      </c>
      <c r="C15" s="3">
        <v>45845</v>
      </c>
      <c r="D15" s="5" t="s">
        <v>21</v>
      </c>
      <c r="E15" s="5" t="s">
        <v>84</v>
      </c>
      <c r="F15" s="5" t="s">
        <v>34</v>
      </c>
      <c r="G15" s="5">
        <v>5</v>
      </c>
      <c r="H15" s="5">
        <v>4</v>
      </c>
      <c r="I15" s="5">
        <v>2866</v>
      </c>
      <c r="J15" s="13">
        <v>3361300</v>
      </c>
      <c r="K15" s="15">
        <f t="shared" si="0"/>
        <v>1172.8192602930915</v>
      </c>
      <c r="L15" s="5" t="s">
        <v>24</v>
      </c>
      <c r="M15" s="5" t="s">
        <v>29</v>
      </c>
      <c r="N15" s="5" t="s">
        <v>41</v>
      </c>
      <c r="O15" s="5" t="s">
        <v>25</v>
      </c>
    </row>
    <row r="16" spans="1:15" s="4" customFormat="1">
      <c r="A16" s="4">
        <v>15</v>
      </c>
      <c r="B16" s="5" t="s">
        <v>434</v>
      </c>
      <c r="C16" s="3">
        <v>45975</v>
      </c>
      <c r="D16" s="5" t="s">
        <v>39</v>
      </c>
      <c r="E16" s="5" t="s">
        <v>40</v>
      </c>
      <c r="F16" s="5" t="s">
        <v>34</v>
      </c>
      <c r="G16" s="5">
        <v>5</v>
      </c>
      <c r="H16" s="5">
        <v>5</v>
      </c>
      <c r="I16" s="5">
        <v>2852</v>
      </c>
      <c r="J16" s="13">
        <v>1610600</v>
      </c>
      <c r="K16" s="15">
        <f t="shared" si="0"/>
        <v>564.72650771388498</v>
      </c>
      <c r="L16" s="5" t="s">
        <v>24</v>
      </c>
      <c r="M16" s="5" t="s">
        <v>17</v>
      </c>
      <c r="N16" s="5" t="s">
        <v>41</v>
      </c>
      <c r="O16" s="5" t="s">
        <v>42</v>
      </c>
    </row>
    <row r="17" spans="1:15" s="4" customFormat="1">
      <c r="A17" s="4">
        <v>16</v>
      </c>
      <c r="B17" s="5" t="s">
        <v>175</v>
      </c>
      <c r="C17" s="3">
        <v>45706</v>
      </c>
      <c r="D17" s="5" t="s">
        <v>44</v>
      </c>
      <c r="E17" s="5" t="s">
        <v>75</v>
      </c>
      <c r="F17" s="5" t="s">
        <v>34</v>
      </c>
      <c r="G17" s="5">
        <v>5</v>
      </c>
      <c r="H17" s="5">
        <v>5</v>
      </c>
      <c r="I17" s="5">
        <v>2839</v>
      </c>
      <c r="J17" s="13">
        <v>1319000</v>
      </c>
      <c r="K17" s="15">
        <f t="shared" si="0"/>
        <v>464.60021134202185</v>
      </c>
      <c r="L17" s="5" t="s">
        <v>53</v>
      </c>
      <c r="M17" s="5" t="s">
        <v>17</v>
      </c>
      <c r="N17" s="5" t="s">
        <v>30</v>
      </c>
      <c r="O17" s="5" t="s">
        <v>42</v>
      </c>
    </row>
    <row r="18" spans="1:15" s="4" customFormat="1">
      <c r="A18" s="4">
        <v>17</v>
      </c>
      <c r="B18" s="5" t="s">
        <v>237</v>
      </c>
      <c r="C18" s="3">
        <v>45921</v>
      </c>
      <c r="D18" s="5" t="s">
        <v>14</v>
      </c>
      <c r="E18" s="5" t="s">
        <v>82</v>
      </c>
      <c r="F18" s="5" t="s">
        <v>23</v>
      </c>
      <c r="G18" s="5">
        <v>5</v>
      </c>
      <c r="H18" s="5">
        <v>5</v>
      </c>
      <c r="I18" s="5">
        <v>2839</v>
      </c>
      <c r="J18" s="13">
        <v>1710900</v>
      </c>
      <c r="K18" s="15">
        <f t="shared" si="0"/>
        <v>602.64177527298341</v>
      </c>
      <c r="L18" s="5" t="s">
        <v>53</v>
      </c>
      <c r="M18" s="5" t="s">
        <v>17</v>
      </c>
      <c r="N18" s="5" t="s">
        <v>30</v>
      </c>
      <c r="O18" s="5" t="s">
        <v>25</v>
      </c>
    </row>
    <row r="19" spans="1:15" s="4" customFormat="1">
      <c r="A19" s="4">
        <v>18</v>
      </c>
      <c r="B19" s="5" t="s">
        <v>388</v>
      </c>
      <c r="C19" s="3">
        <v>45880</v>
      </c>
      <c r="D19" s="5" t="s">
        <v>44</v>
      </c>
      <c r="E19" s="5" t="s">
        <v>45</v>
      </c>
      <c r="F19" s="5" t="s">
        <v>23</v>
      </c>
      <c r="G19" s="5">
        <v>5</v>
      </c>
      <c r="H19" s="5">
        <v>5</v>
      </c>
      <c r="I19" s="5">
        <v>2831</v>
      </c>
      <c r="J19" s="13">
        <v>1472700</v>
      </c>
      <c r="K19" s="15">
        <f t="shared" si="0"/>
        <v>520.20487460261393</v>
      </c>
      <c r="L19" s="5" t="s">
        <v>16</v>
      </c>
      <c r="M19" s="5" t="s">
        <v>29</v>
      </c>
      <c r="N19" s="5" t="s">
        <v>41</v>
      </c>
      <c r="O19" s="5" t="s">
        <v>37</v>
      </c>
    </row>
    <row r="20" spans="1:15" s="4" customFormat="1">
      <c r="A20" s="4">
        <v>19</v>
      </c>
      <c r="B20" s="5" t="s">
        <v>467</v>
      </c>
      <c r="C20" s="3">
        <v>45827</v>
      </c>
      <c r="D20" s="5" t="s">
        <v>14</v>
      </c>
      <c r="E20" s="5" t="s">
        <v>129</v>
      </c>
      <c r="F20" s="5" t="s">
        <v>34</v>
      </c>
      <c r="G20" s="5">
        <v>5</v>
      </c>
      <c r="H20" s="5">
        <v>5</v>
      </c>
      <c r="I20" s="5">
        <v>2795</v>
      </c>
      <c r="J20" s="13">
        <v>1577500</v>
      </c>
      <c r="K20" s="15">
        <f t="shared" si="0"/>
        <v>564.40071556350631</v>
      </c>
      <c r="L20" s="5" t="s">
        <v>53</v>
      </c>
      <c r="M20" s="5" t="s">
        <v>17</v>
      </c>
      <c r="N20" s="5" t="s">
        <v>30</v>
      </c>
      <c r="O20" s="5" t="s">
        <v>37</v>
      </c>
    </row>
    <row r="21" spans="1:15" s="4" customFormat="1">
      <c r="A21" s="4">
        <v>20</v>
      </c>
      <c r="B21" s="5" t="s">
        <v>542</v>
      </c>
      <c r="C21" s="3">
        <v>45709</v>
      </c>
      <c r="D21" s="5" t="s">
        <v>27</v>
      </c>
      <c r="E21" s="5" t="s">
        <v>56</v>
      </c>
      <c r="F21" s="5" t="s">
        <v>15</v>
      </c>
      <c r="G21" s="5">
        <v>5</v>
      </c>
      <c r="H21" s="5">
        <v>5</v>
      </c>
      <c r="I21" s="5">
        <v>2776</v>
      </c>
      <c r="J21" s="13">
        <v>1982600</v>
      </c>
      <c r="K21" s="15">
        <f t="shared" si="0"/>
        <v>714.193083573487</v>
      </c>
      <c r="L21" s="5" t="s">
        <v>24</v>
      </c>
      <c r="M21" s="5" t="s">
        <v>29</v>
      </c>
      <c r="N21" s="5" t="s">
        <v>41</v>
      </c>
      <c r="O21" s="5" t="s">
        <v>25</v>
      </c>
    </row>
    <row r="22" spans="1:15" s="4" customFormat="1">
      <c r="A22" s="4">
        <v>21</v>
      </c>
      <c r="B22" s="5" t="s">
        <v>208</v>
      </c>
      <c r="C22" s="3">
        <v>46014</v>
      </c>
      <c r="D22" s="5" t="s">
        <v>32</v>
      </c>
      <c r="E22" s="5" t="s">
        <v>61</v>
      </c>
      <c r="F22" s="5" t="s">
        <v>34</v>
      </c>
      <c r="G22" s="5">
        <v>5</v>
      </c>
      <c r="H22" s="5">
        <v>5</v>
      </c>
      <c r="I22" s="5">
        <v>2740</v>
      </c>
      <c r="J22" s="13">
        <v>1016400</v>
      </c>
      <c r="K22" s="15">
        <f t="shared" si="0"/>
        <v>370.94890510948903</v>
      </c>
      <c r="L22" s="5" t="s">
        <v>16</v>
      </c>
      <c r="M22" s="5" t="s">
        <v>17</v>
      </c>
      <c r="N22" s="5" t="s">
        <v>30</v>
      </c>
      <c r="O22" s="5" t="s">
        <v>35</v>
      </c>
    </row>
    <row r="23" spans="1:15" s="4" customFormat="1">
      <c r="A23" s="4">
        <v>22</v>
      </c>
      <c r="B23" s="5" t="s">
        <v>456</v>
      </c>
      <c r="C23" s="3">
        <v>45880</v>
      </c>
      <c r="D23" s="5" t="s">
        <v>44</v>
      </c>
      <c r="E23" s="5" t="s">
        <v>45</v>
      </c>
      <c r="F23" s="5" t="s">
        <v>52</v>
      </c>
      <c r="G23" s="5">
        <v>5</v>
      </c>
      <c r="H23" s="5">
        <v>5</v>
      </c>
      <c r="I23" s="5">
        <v>2732</v>
      </c>
      <c r="J23" s="16">
        <v>882186.4706</v>
      </c>
      <c r="K23" s="15">
        <f>J23/I23</f>
        <v>322.90866420204981</v>
      </c>
      <c r="L23" s="5" t="s">
        <v>24</v>
      </c>
      <c r="M23" s="5" t="s">
        <v>29</v>
      </c>
      <c r="N23" s="5" t="s">
        <v>41</v>
      </c>
      <c r="O23" s="5" t="s">
        <v>42</v>
      </c>
    </row>
    <row r="24" spans="1:15" s="4" customFormat="1">
      <c r="A24" s="4">
        <v>23</v>
      </c>
      <c r="B24" s="5" t="s">
        <v>338</v>
      </c>
      <c r="C24" s="3">
        <v>45754</v>
      </c>
      <c r="D24" s="5" t="s">
        <v>44</v>
      </c>
      <c r="E24" s="5" t="s">
        <v>100</v>
      </c>
      <c r="F24" s="5" t="s">
        <v>15</v>
      </c>
      <c r="G24" s="5">
        <v>5</v>
      </c>
      <c r="H24" s="5">
        <v>4</v>
      </c>
      <c r="I24" s="5">
        <v>2716</v>
      </c>
      <c r="J24" s="13">
        <v>1190800</v>
      </c>
      <c r="K24" s="15">
        <f t="shared" si="0"/>
        <v>438.43888070692196</v>
      </c>
      <c r="L24" s="5" t="s">
        <v>24</v>
      </c>
      <c r="M24" s="5" t="s">
        <v>17</v>
      </c>
      <c r="N24" s="5" t="s">
        <v>30</v>
      </c>
      <c r="O24" s="5" t="s">
        <v>42</v>
      </c>
    </row>
    <row r="25" spans="1:15" s="4" customFormat="1">
      <c r="A25" s="4">
        <v>24</v>
      </c>
      <c r="B25" s="5" t="s">
        <v>73</v>
      </c>
      <c r="C25" s="3">
        <v>45906</v>
      </c>
      <c r="D25" s="5" t="s">
        <v>48</v>
      </c>
      <c r="E25" s="5" t="s">
        <v>49</v>
      </c>
      <c r="F25" s="5" t="s">
        <v>15</v>
      </c>
      <c r="G25" s="5">
        <v>5</v>
      </c>
      <c r="H25" s="5">
        <v>5</v>
      </c>
      <c r="I25" s="5">
        <v>2713</v>
      </c>
      <c r="J25" s="13">
        <v>1631000</v>
      </c>
      <c r="K25" s="15">
        <f t="shared" si="0"/>
        <v>601.17950608182821</v>
      </c>
      <c r="L25" s="5" t="s">
        <v>53</v>
      </c>
      <c r="M25" s="5" t="s">
        <v>29</v>
      </c>
      <c r="N25" s="5" t="s">
        <v>30</v>
      </c>
      <c r="O25" s="5" t="s">
        <v>19</v>
      </c>
    </row>
    <row r="26" spans="1:15" s="4" customFormat="1">
      <c r="A26" s="4">
        <v>25</v>
      </c>
      <c r="B26" s="5" t="s">
        <v>406</v>
      </c>
      <c r="C26" s="3">
        <v>45723</v>
      </c>
      <c r="D26" s="5" t="s">
        <v>27</v>
      </c>
      <c r="E26" s="5" t="s">
        <v>28</v>
      </c>
      <c r="F26" s="5" t="s">
        <v>23</v>
      </c>
      <c r="G26" s="5">
        <v>5</v>
      </c>
      <c r="H26" s="5">
        <v>4</v>
      </c>
      <c r="I26" s="5">
        <v>2703</v>
      </c>
      <c r="J26" s="13">
        <v>1852100</v>
      </c>
      <c r="K26" s="15">
        <f t="shared" si="0"/>
        <v>685.20162782093973</v>
      </c>
      <c r="L26" s="5" t="s">
        <v>24</v>
      </c>
      <c r="M26" s="5" t="s">
        <v>17</v>
      </c>
      <c r="N26" s="5" t="s">
        <v>41</v>
      </c>
      <c r="O26" s="5" t="s">
        <v>35</v>
      </c>
    </row>
    <row r="27" spans="1:15" s="4" customFormat="1">
      <c r="A27" s="4">
        <v>26</v>
      </c>
      <c r="B27" s="5" t="s">
        <v>162</v>
      </c>
      <c r="C27" s="3">
        <v>45670</v>
      </c>
      <c r="D27" s="5" t="s">
        <v>14</v>
      </c>
      <c r="E27" s="5" t="s">
        <v>82</v>
      </c>
      <c r="F27" s="5" t="s">
        <v>52</v>
      </c>
      <c r="G27" s="5">
        <v>5</v>
      </c>
      <c r="H27" s="5">
        <v>4</v>
      </c>
      <c r="I27" s="5">
        <v>2700</v>
      </c>
      <c r="J27" s="13">
        <v>1470600</v>
      </c>
      <c r="K27" s="15">
        <f t="shared" si="0"/>
        <v>544.66666666666663</v>
      </c>
      <c r="L27" s="5" t="s">
        <v>24</v>
      </c>
      <c r="M27" s="5" t="s">
        <v>17</v>
      </c>
      <c r="N27" s="5" t="s">
        <v>41</v>
      </c>
      <c r="O27" s="5" t="s">
        <v>46</v>
      </c>
    </row>
    <row r="28" spans="1:15" s="4" customFormat="1">
      <c r="A28" s="4">
        <v>27</v>
      </c>
      <c r="B28" s="5" t="s">
        <v>496</v>
      </c>
      <c r="C28" s="3">
        <v>45864</v>
      </c>
      <c r="D28" s="5" t="s">
        <v>27</v>
      </c>
      <c r="E28" s="5" t="s">
        <v>28</v>
      </c>
      <c r="F28" s="5" t="s">
        <v>34</v>
      </c>
      <c r="G28" s="5">
        <v>5</v>
      </c>
      <c r="H28" s="5">
        <v>5</v>
      </c>
      <c r="I28" s="5">
        <v>2671</v>
      </c>
      <c r="J28" s="13">
        <v>2099900</v>
      </c>
      <c r="K28" s="15">
        <f t="shared" si="0"/>
        <v>786.18494945713212</v>
      </c>
      <c r="L28" s="5" t="s">
        <v>24</v>
      </c>
      <c r="M28" s="5" t="s">
        <v>29</v>
      </c>
      <c r="N28" s="5" t="s">
        <v>30</v>
      </c>
      <c r="O28" s="5" t="s">
        <v>46</v>
      </c>
    </row>
    <row r="29" spans="1:15" s="4" customFormat="1">
      <c r="A29" s="4">
        <v>28</v>
      </c>
      <c r="B29" s="5" t="s">
        <v>102</v>
      </c>
      <c r="C29" s="3">
        <v>45681</v>
      </c>
      <c r="D29" s="5" t="s">
        <v>14</v>
      </c>
      <c r="E29" s="5" t="s">
        <v>82</v>
      </c>
      <c r="F29" s="5" t="s">
        <v>23</v>
      </c>
      <c r="G29" s="5">
        <v>5</v>
      </c>
      <c r="H29" s="5">
        <v>5</v>
      </c>
      <c r="I29" s="5">
        <v>2665</v>
      </c>
      <c r="J29" s="13">
        <v>1456000</v>
      </c>
      <c r="K29" s="15">
        <f t="shared" si="0"/>
        <v>546.34146341463418</v>
      </c>
      <c r="L29" s="5" t="s">
        <v>16</v>
      </c>
      <c r="M29" s="5" t="s">
        <v>17</v>
      </c>
      <c r="N29" s="5" t="s">
        <v>41</v>
      </c>
      <c r="O29" s="5" t="s">
        <v>19</v>
      </c>
    </row>
    <row r="30" spans="1:15" s="4" customFormat="1">
      <c r="A30" s="4">
        <v>29</v>
      </c>
      <c r="B30" s="5" t="s">
        <v>362</v>
      </c>
      <c r="C30" s="3">
        <v>45885</v>
      </c>
      <c r="D30" s="5" t="s">
        <v>14</v>
      </c>
      <c r="E30" s="5" t="s">
        <v>567</v>
      </c>
      <c r="F30" s="5" t="s">
        <v>34</v>
      </c>
      <c r="G30" s="5">
        <v>5</v>
      </c>
      <c r="H30" s="5">
        <v>5</v>
      </c>
      <c r="I30" s="5">
        <v>2662</v>
      </c>
      <c r="J30" s="13">
        <v>1842600</v>
      </c>
      <c r="K30" s="15">
        <f t="shared" si="0"/>
        <v>692.18632607062364</v>
      </c>
      <c r="L30" s="5" t="s">
        <v>16</v>
      </c>
      <c r="M30" s="5" t="s">
        <v>29</v>
      </c>
      <c r="N30" s="5" t="s">
        <v>30</v>
      </c>
      <c r="O30" s="5" t="s">
        <v>19</v>
      </c>
    </row>
    <row r="31" spans="1:15" s="4" customFormat="1">
      <c r="A31" s="4">
        <v>30</v>
      </c>
      <c r="B31" s="5" t="s">
        <v>314</v>
      </c>
      <c r="C31" s="3">
        <v>45792</v>
      </c>
      <c r="D31" s="5" t="s">
        <v>48</v>
      </c>
      <c r="E31" s="5" t="s">
        <v>49</v>
      </c>
      <c r="F31" s="5" t="s">
        <v>15</v>
      </c>
      <c r="G31" s="5">
        <v>5</v>
      </c>
      <c r="H31" s="5">
        <v>4</v>
      </c>
      <c r="I31" s="5">
        <v>2654</v>
      </c>
      <c r="J31" s="13">
        <v>1731200</v>
      </c>
      <c r="K31" s="15">
        <f t="shared" si="0"/>
        <v>652.29841748304443</v>
      </c>
      <c r="L31" s="5" t="s">
        <v>24</v>
      </c>
      <c r="M31" s="5" t="s">
        <v>17</v>
      </c>
      <c r="N31" s="5" t="s">
        <v>41</v>
      </c>
      <c r="O31" s="5" t="s">
        <v>42</v>
      </c>
    </row>
    <row r="32" spans="1:15" s="4" customFormat="1">
      <c r="A32" s="4">
        <v>31</v>
      </c>
      <c r="B32" s="5" t="s">
        <v>359</v>
      </c>
      <c r="C32" s="3">
        <v>46022</v>
      </c>
      <c r="D32" s="5" t="s">
        <v>27</v>
      </c>
      <c r="E32" s="5" t="s">
        <v>56</v>
      </c>
      <c r="F32" s="5" t="s">
        <v>23</v>
      </c>
      <c r="G32" s="5">
        <v>5</v>
      </c>
      <c r="H32" s="5">
        <v>5</v>
      </c>
      <c r="I32" s="5">
        <v>2649</v>
      </c>
      <c r="J32" s="13">
        <v>1842500</v>
      </c>
      <c r="K32" s="15">
        <f t="shared" si="0"/>
        <v>695.5454888637222</v>
      </c>
      <c r="L32" s="5" t="s">
        <v>16</v>
      </c>
      <c r="M32" s="5" t="s">
        <v>17</v>
      </c>
      <c r="N32" s="5" t="s">
        <v>30</v>
      </c>
      <c r="O32" s="5" t="s">
        <v>35</v>
      </c>
    </row>
    <row r="33" spans="1:15" s="4" customFormat="1">
      <c r="A33" s="4">
        <v>32</v>
      </c>
      <c r="B33" s="5" t="s">
        <v>474</v>
      </c>
      <c r="C33" s="3">
        <v>45798</v>
      </c>
      <c r="D33" s="5" t="s">
        <v>39</v>
      </c>
      <c r="E33" s="5" t="s">
        <v>61</v>
      </c>
      <c r="F33" s="5" t="s">
        <v>15</v>
      </c>
      <c r="G33" s="5">
        <v>4</v>
      </c>
      <c r="H33" s="5">
        <v>4</v>
      </c>
      <c r="I33" s="5">
        <v>2616</v>
      </c>
      <c r="J33" s="13">
        <v>1429800</v>
      </c>
      <c r="K33" s="15">
        <f t="shared" si="0"/>
        <v>546.55963302752298</v>
      </c>
      <c r="L33" s="5" t="s">
        <v>24</v>
      </c>
      <c r="M33" s="5" t="s">
        <v>17</v>
      </c>
      <c r="N33" s="5" t="s">
        <v>41</v>
      </c>
      <c r="O33" s="5" t="s">
        <v>35</v>
      </c>
    </row>
    <row r="34" spans="1:15" s="4" customFormat="1">
      <c r="A34" s="4">
        <v>33</v>
      </c>
      <c r="B34" s="5" t="s">
        <v>371</v>
      </c>
      <c r="C34" s="3">
        <v>45748</v>
      </c>
      <c r="D34" s="5" t="s">
        <v>21</v>
      </c>
      <c r="E34" s="5" t="s">
        <v>67</v>
      </c>
      <c r="F34" s="5" t="s">
        <v>23</v>
      </c>
      <c r="G34" s="5">
        <v>5</v>
      </c>
      <c r="H34" s="5">
        <v>5</v>
      </c>
      <c r="I34" s="5">
        <v>2611</v>
      </c>
      <c r="J34" s="13">
        <v>2603900</v>
      </c>
      <c r="K34" s="15">
        <f t="shared" si="0"/>
        <v>997.28073535044041</v>
      </c>
      <c r="L34" s="5" t="s">
        <v>53</v>
      </c>
      <c r="M34" s="5" t="s">
        <v>29</v>
      </c>
      <c r="N34" s="5" t="s">
        <v>18</v>
      </c>
      <c r="O34" s="5" t="s">
        <v>46</v>
      </c>
    </row>
    <row r="35" spans="1:15" s="4" customFormat="1">
      <c r="A35" s="4">
        <v>34</v>
      </c>
      <c r="B35" s="5" t="s">
        <v>68</v>
      </c>
      <c r="C35" s="3">
        <v>45878</v>
      </c>
      <c r="D35" s="5" t="s">
        <v>27</v>
      </c>
      <c r="E35" s="5" t="s">
        <v>69</v>
      </c>
      <c r="F35" s="5" t="s">
        <v>23</v>
      </c>
      <c r="G35" s="5">
        <v>5</v>
      </c>
      <c r="H35" s="5">
        <v>5</v>
      </c>
      <c r="I35" s="5">
        <v>2603</v>
      </c>
      <c r="J35" s="13">
        <v>1783200</v>
      </c>
      <c r="K35" s="15">
        <f t="shared" si="0"/>
        <v>685.05570495582026</v>
      </c>
      <c r="L35" s="5" t="s">
        <v>53</v>
      </c>
      <c r="M35" s="5" t="s">
        <v>17</v>
      </c>
      <c r="N35" s="5" t="s">
        <v>30</v>
      </c>
      <c r="O35" s="5" t="s">
        <v>25</v>
      </c>
    </row>
    <row r="36" spans="1:15" s="4" customFormat="1">
      <c r="A36" s="4">
        <v>35</v>
      </c>
      <c r="B36" s="5" t="s">
        <v>121</v>
      </c>
      <c r="C36" s="3">
        <v>45782</v>
      </c>
      <c r="D36" s="5" t="s">
        <v>48</v>
      </c>
      <c r="E36" s="5" t="s">
        <v>58</v>
      </c>
      <c r="F36" s="5" t="s">
        <v>34</v>
      </c>
      <c r="G36" s="5">
        <v>5</v>
      </c>
      <c r="H36" s="5">
        <v>5</v>
      </c>
      <c r="I36" s="5">
        <v>2593</v>
      </c>
      <c r="J36" s="13">
        <v>2110500</v>
      </c>
      <c r="K36" s="15">
        <f t="shared" si="0"/>
        <v>813.92209795603549</v>
      </c>
      <c r="L36" s="5" t="s">
        <v>53</v>
      </c>
      <c r="M36" s="5" t="s">
        <v>17</v>
      </c>
      <c r="N36" s="5" t="s">
        <v>30</v>
      </c>
      <c r="O36" s="5" t="s">
        <v>19</v>
      </c>
    </row>
    <row r="37" spans="1:15" s="4" customFormat="1">
      <c r="A37" s="4">
        <v>36</v>
      </c>
      <c r="B37" s="5" t="s">
        <v>101</v>
      </c>
      <c r="C37" s="3">
        <v>45982</v>
      </c>
      <c r="D37" s="5" t="s">
        <v>39</v>
      </c>
      <c r="E37" s="5" t="s">
        <v>72</v>
      </c>
      <c r="F37" s="5" t="s">
        <v>52</v>
      </c>
      <c r="G37" s="5">
        <v>5</v>
      </c>
      <c r="H37" s="5">
        <v>4</v>
      </c>
      <c r="I37" s="5">
        <v>2591</v>
      </c>
      <c r="J37" s="13">
        <v>1441800</v>
      </c>
      <c r="K37" s="15">
        <f t="shared" si="0"/>
        <v>556.46468544963329</v>
      </c>
      <c r="L37" s="5" t="s">
        <v>24</v>
      </c>
      <c r="M37" s="5" t="s">
        <v>17</v>
      </c>
      <c r="N37" s="5" t="s">
        <v>18</v>
      </c>
      <c r="O37" s="5" t="s">
        <v>46</v>
      </c>
    </row>
    <row r="38" spans="1:15" s="4" customFormat="1">
      <c r="A38" s="4">
        <v>37</v>
      </c>
      <c r="B38" s="5" t="s">
        <v>487</v>
      </c>
      <c r="C38" s="3">
        <v>45819</v>
      </c>
      <c r="D38" s="5" t="s">
        <v>21</v>
      </c>
      <c r="E38" s="5" t="s">
        <v>84</v>
      </c>
      <c r="F38" s="5" t="s">
        <v>52</v>
      </c>
      <c r="G38" s="5">
        <v>4</v>
      </c>
      <c r="H38" s="5">
        <v>4</v>
      </c>
      <c r="I38" s="5">
        <v>2584</v>
      </c>
      <c r="J38" s="13">
        <v>2746900</v>
      </c>
      <c r="K38" s="15">
        <f t="shared" si="0"/>
        <v>1063.0417956656347</v>
      </c>
      <c r="L38" s="5" t="s">
        <v>53</v>
      </c>
      <c r="M38" s="5" t="s">
        <v>17</v>
      </c>
      <c r="N38" s="5" t="s">
        <v>18</v>
      </c>
      <c r="O38" s="5" t="s">
        <v>46</v>
      </c>
    </row>
    <row r="39" spans="1:15" s="4" customFormat="1">
      <c r="A39" s="4">
        <v>38</v>
      </c>
      <c r="B39" s="5" t="s">
        <v>348</v>
      </c>
      <c r="C39" s="3">
        <v>45681</v>
      </c>
      <c r="D39" s="5" t="s">
        <v>14</v>
      </c>
      <c r="E39" s="5" t="s">
        <v>567</v>
      </c>
      <c r="F39" s="5" t="s">
        <v>23</v>
      </c>
      <c r="G39" s="5">
        <v>4</v>
      </c>
      <c r="H39" s="5">
        <v>3</v>
      </c>
      <c r="I39" s="5">
        <v>2576</v>
      </c>
      <c r="J39" s="13">
        <v>1351600</v>
      </c>
      <c r="K39" s="15">
        <f t="shared" si="0"/>
        <v>524.68944099378882</v>
      </c>
      <c r="L39" s="5" t="s">
        <v>53</v>
      </c>
      <c r="M39" s="5" t="s">
        <v>17</v>
      </c>
      <c r="N39" s="5" t="s">
        <v>30</v>
      </c>
      <c r="O39" s="5" t="s">
        <v>46</v>
      </c>
    </row>
    <row r="40" spans="1:15" s="4" customFormat="1">
      <c r="A40" s="4">
        <v>39</v>
      </c>
      <c r="B40" s="5" t="s">
        <v>433</v>
      </c>
      <c r="C40" s="3">
        <v>45984</v>
      </c>
      <c r="D40" s="5" t="s">
        <v>21</v>
      </c>
      <c r="E40" s="5" t="s">
        <v>84</v>
      </c>
      <c r="F40" s="5" t="s">
        <v>15</v>
      </c>
      <c r="G40" s="5">
        <v>5</v>
      </c>
      <c r="H40" s="5">
        <v>4</v>
      </c>
      <c r="I40" s="5">
        <v>2573</v>
      </c>
      <c r="J40" s="13">
        <v>2786700</v>
      </c>
      <c r="K40" s="15">
        <f t="shared" si="0"/>
        <v>1083.0547998445395</v>
      </c>
      <c r="L40" s="5" t="s">
        <v>53</v>
      </c>
      <c r="M40" s="5" t="s">
        <v>29</v>
      </c>
      <c r="N40" s="5" t="s">
        <v>41</v>
      </c>
      <c r="O40" s="5" t="s">
        <v>42</v>
      </c>
    </row>
    <row r="41" spans="1:15" s="4" customFormat="1">
      <c r="A41" s="4">
        <v>40</v>
      </c>
      <c r="B41" s="5" t="s">
        <v>445</v>
      </c>
      <c r="C41" s="3">
        <v>45889</v>
      </c>
      <c r="D41" s="5" t="s">
        <v>14</v>
      </c>
      <c r="E41" s="5" t="s">
        <v>82</v>
      </c>
      <c r="F41" s="5" t="s">
        <v>23</v>
      </c>
      <c r="G41" s="5">
        <v>5</v>
      </c>
      <c r="H41" s="5">
        <v>4</v>
      </c>
      <c r="I41" s="5">
        <v>2550</v>
      </c>
      <c r="J41" s="13">
        <v>1346100</v>
      </c>
      <c r="K41" s="15">
        <f t="shared" si="0"/>
        <v>527.88235294117646</v>
      </c>
      <c r="L41" s="5" t="s">
        <v>16</v>
      </c>
      <c r="M41" s="5" t="s">
        <v>29</v>
      </c>
      <c r="N41" s="5" t="s">
        <v>41</v>
      </c>
      <c r="O41" s="5" t="s">
        <v>42</v>
      </c>
    </row>
    <row r="42" spans="1:15" s="4" customFormat="1">
      <c r="A42" s="4">
        <v>41</v>
      </c>
      <c r="B42" s="5" t="s">
        <v>128</v>
      </c>
      <c r="C42" s="3">
        <v>45898</v>
      </c>
      <c r="D42" s="5" t="s">
        <v>14</v>
      </c>
      <c r="E42" s="5" t="s">
        <v>129</v>
      </c>
      <c r="F42" s="5" t="s">
        <v>15</v>
      </c>
      <c r="G42" s="5">
        <v>5</v>
      </c>
      <c r="H42" s="5">
        <v>5</v>
      </c>
      <c r="I42" s="5">
        <v>2549</v>
      </c>
      <c r="J42" s="13">
        <v>1451000</v>
      </c>
      <c r="K42" s="15">
        <f t="shared" si="0"/>
        <v>569.24284032954097</v>
      </c>
      <c r="L42" s="5" t="s">
        <v>53</v>
      </c>
      <c r="M42" s="5" t="s">
        <v>17</v>
      </c>
      <c r="N42" s="5" t="s">
        <v>30</v>
      </c>
      <c r="O42" s="5" t="s">
        <v>46</v>
      </c>
    </row>
    <row r="43" spans="1:15" s="4" customFormat="1">
      <c r="A43" s="4">
        <v>42</v>
      </c>
      <c r="B43" s="5" t="s">
        <v>326</v>
      </c>
      <c r="C43" s="3">
        <v>45953</v>
      </c>
      <c r="D43" s="5" t="s">
        <v>44</v>
      </c>
      <c r="E43" s="5" t="s">
        <v>45</v>
      </c>
      <c r="F43" s="5" t="s">
        <v>34</v>
      </c>
      <c r="G43" s="5">
        <v>5</v>
      </c>
      <c r="H43" s="5">
        <v>5</v>
      </c>
      <c r="I43" s="5">
        <v>2548</v>
      </c>
      <c r="J43" s="13">
        <v>1213100</v>
      </c>
      <c r="K43" s="15">
        <f t="shared" si="0"/>
        <v>476.09890109890108</v>
      </c>
      <c r="L43" s="5" t="s">
        <v>24</v>
      </c>
      <c r="M43" s="5" t="s">
        <v>17</v>
      </c>
      <c r="N43" s="5" t="s">
        <v>41</v>
      </c>
      <c r="O43" s="5" t="s">
        <v>25</v>
      </c>
    </row>
    <row r="44" spans="1:15" s="4" customFormat="1">
      <c r="A44" s="4">
        <v>43</v>
      </c>
      <c r="B44" s="5" t="s">
        <v>377</v>
      </c>
      <c r="C44" s="3">
        <v>45713</v>
      </c>
      <c r="D44" s="5" t="s">
        <v>32</v>
      </c>
      <c r="E44" s="5" t="s">
        <v>77</v>
      </c>
      <c r="F44" s="5" t="s">
        <v>23</v>
      </c>
      <c r="G44" s="5">
        <v>4</v>
      </c>
      <c r="H44" s="5">
        <v>4</v>
      </c>
      <c r="I44" s="5">
        <v>2519</v>
      </c>
      <c r="J44" s="13">
        <v>795500</v>
      </c>
      <c r="K44" s="15">
        <f t="shared" si="0"/>
        <v>315.79992060341408</v>
      </c>
      <c r="L44" s="5" t="s">
        <v>24</v>
      </c>
      <c r="M44" s="5" t="s">
        <v>29</v>
      </c>
      <c r="N44" s="5" t="s">
        <v>18</v>
      </c>
      <c r="O44" s="5" t="s">
        <v>25</v>
      </c>
    </row>
    <row r="45" spans="1:15" s="4" customFormat="1">
      <c r="A45" s="4">
        <v>44</v>
      </c>
      <c r="B45" s="5" t="s">
        <v>457</v>
      </c>
      <c r="C45" s="3">
        <v>45695</v>
      </c>
      <c r="D45" s="5" t="s">
        <v>44</v>
      </c>
      <c r="E45" s="5" t="s">
        <v>65</v>
      </c>
      <c r="F45" s="5" t="s">
        <v>52</v>
      </c>
      <c r="G45" s="5">
        <v>4</v>
      </c>
      <c r="H45" s="5">
        <v>4</v>
      </c>
      <c r="I45" s="5">
        <v>2517</v>
      </c>
      <c r="J45" s="13">
        <v>988200</v>
      </c>
      <c r="K45" s="15">
        <f t="shared" si="0"/>
        <v>392.61025029797378</v>
      </c>
      <c r="L45" s="5" t="s">
        <v>16</v>
      </c>
      <c r="M45" s="5" t="s">
        <v>29</v>
      </c>
      <c r="N45" s="5" t="s">
        <v>30</v>
      </c>
      <c r="O45" s="5" t="s">
        <v>35</v>
      </c>
    </row>
    <row r="46" spans="1:15" s="4" customFormat="1">
      <c r="A46" s="4">
        <v>45</v>
      </c>
      <c r="B46" s="5" t="s">
        <v>289</v>
      </c>
      <c r="C46" s="3">
        <v>45700</v>
      </c>
      <c r="D46" s="5" t="s">
        <v>39</v>
      </c>
      <c r="E46" s="5" t="s">
        <v>51</v>
      </c>
      <c r="F46" s="5" t="s">
        <v>15</v>
      </c>
      <c r="G46" s="5">
        <v>4</v>
      </c>
      <c r="H46" s="5">
        <v>4</v>
      </c>
      <c r="I46" s="5">
        <v>2510</v>
      </c>
      <c r="J46" s="13">
        <v>1396300</v>
      </c>
      <c r="K46" s="15">
        <f t="shared" si="0"/>
        <v>556.29482071713153</v>
      </c>
      <c r="L46" s="5" t="s">
        <v>53</v>
      </c>
      <c r="M46" s="5" t="s">
        <v>17</v>
      </c>
      <c r="N46" s="5" t="s">
        <v>41</v>
      </c>
      <c r="O46" s="5" t="s">
        <v>37</v>
      </c>
    </row>
    <row r="47" spans="1:15" s="4" customFormat="1">
      <c r="A47" s="4">
        <v>46</v>
      </c>
      <c r="B47" s="5" t="s">
        <v>270</v>
      </c>
      <c r="C47" s="3">
        <v>45715</v>
      </c>
      <c r="D47" s="5" t="s">
        <v>14</v>
      </c>
      <c r="E47" s="5" t="s">
        <v>129</v>
      </c>
      <c r="F47" s="5" t="s">
        <v>52</v>
      </c>
      <c r="G47" s="5">
        <v>5</v>
      </c>
      <c r="H47" s="5">
        <v>5</v>
      </c>
      <c r="I47" s="5">
        <v>2506</v>
      </c>
      <c r="J47" s="13">
        <v>1381300</v>
      </c>
      <c r="K47" s="15">
        <f t="shared" si="0"/>
        <v>551.19712689545088</v>
      </c>
      <c r="L47" s="5" t="s">
        <v>16</v>
      </c>
      <c r="M47" s="5" t="s">
        <v>17</v>
      </c>
      <c r="N47" s="5" t="s">
        <v>41</v>
      </c>
      <c r="O47" s="5" t="s">
        <v>19</v>
      </c>
    </row>
    <row r="48" spans="1:15" s="4" customFormat="1">
      <c r="A48" s="4">
        <v>47</v>
      </c>
      <c r="B48" s="5" t="s">
        <v>398</v>
      </c>
      <c r="C48" s="3">
        <v>45855</v>
      </c>
      <c r="D48" s="5" t="s">
        <v>32</v>
      </c>
      <c r="E48" s="5" t="s">
        <v>33</v>
      </c>
      <c r="F48" s="5" t="s">
        <v>23</v>
      </c>
      <c r="G48" s="5">
        <v>5</v>
      </c>
      <c r="H48" s="5">
        <v>5</v>
      </c>
      <c r="I48" s="5">
        <v>2495</v>
      </c>
      <c r="J48" s="13">
        <v>773600</v>
      </c>
      <c r="K48" s="15">
        <f t="shared" si="0"/>
        <v>310.06012024048096</v>
      </c>
      <c r="L48" s="5" t="s">
        <v>16</v>
      </c>
      <c r="M48" s="5" t="s">
        <v>29</v>
      </c>
      <c r="N48" s="5" t="s">
        <v>41</v>
      </c>
      <c r="O48" s="5" t="s">
        <v>46</v>
      </c>
    </row>
    <row r="49" spans="1:15" s="4" customFormat="1">
      <c r="A49" s="4">
        <v>48</v>
      </c>
      <c r="B49" s="5" t="s">
        <v>176</v>
      </c>
      <c r="C49" s="3">
        <v>45707</v>
      </c>
      <c r="D49" s="5" t="s">
        <v>32</v>
      </c>
      <c r="E49" s="5" t="s">
        <v>33</v>
      </c>
      <c r="F49" s="5" t="s">
        <v>23</v>
      </c>
      <c r="G49" s="5">
        <v>4</v>
      </c>
      <c r="H49" s="5">
        <v>4</v>
      </c>
      <c r="I49" s="5">
        <v>2489</v>
      </c>
      <c r="J49" s="13">
        <v>730000</v>
      </c>
      <c r="K49" s="15">
        <f t="shared" si="0"/>
        <v>293.29047810365608</v>
      </c>
      <c r="L49" s="5" t="s">
        <v>24</v>
      </c>
      <c r="M49" s="5" t="s">
        <v>17</v>
      </c>
      <c r="N49" s="5" t="s">
        <v>18</v>
      </c>
      <c r="O49" s="5" t="s">
        <v>35</v>
      </c>
    </row>
    <row r="50" spans="1:15" s="4" customFormat="1">
      <c r="A50" s="4">
        <v>49</v>
      </c>
      <c r="B50" s="5" t="s">
        <v>157</v>
      </c>
      <c r="C50" s="3">
        <v>45775</v>
      </c>
      <c r="D50" s="5" t="s">
        <v>48</v>
      </c>
      <c r="E50" s="5" t="s">
        <v>49</v>
      </c>
      <c r="F50" s="5" t="s">
        <v>52</v>
      </c>
      <c r="G50" s="5">
        <v>5</v>
      </c>
      <c r="H50" s="5">
        <v>2</v>
      </c>
      <c r="I50" s="5">
        <v>2482</v>
      </c>
      <c r="J50" s="13">
        <v>1845500</v>
      </c>
      <c r="K50" s="15">
        <f t="shared" si="0"/>
        <v>743.5535858178888</v>
      </c>
      <c r="L50" s="5" t="s">
        <v>24</v>
      </c>
      <c r="M50" s="5" t="s">
        <v>17</v>
      </c>
      <c r="N50" s="5" t="s">
        <v>18</v>
      </c>
      <c r="O50" s="5" t="s">
        <v>42</v>
      </c>
    </row>
    <row r="51" spans="1:15" s="4" customFormat="1">
      <c r="A51" s="4">
        <v>50</v>
      </c>
      <c r="B51" s="5" t="s">
        <v>145</v>
      </c>
      <c r="C51" s="3">
        <v>45870</v>
      </c>
      <c r="D51" s="5" t="s">
        <v>39</v>
      </c>
      <c r="E51" s="5" t="s">
        <v>72</v>
      </c>
      <c r="F51" s="5" t="s">
        <v>23</v>
      </c>
      <c r="G51" s="5">
        <v>5</v>
      </c>
      <c r="H51" s="5">
        <v>5</v>
      </c>
      <c r="I51" s="5">
        <v>2479</v>
      </c>
      <c r="J51" s="13">
        <v>1329000</v>
      </c>
      <c r="K51" s="15">
        <f t="shared" si="0"/>
        <v>536.10326744655106</v>
      </c>
      <c r="L51" s="5" t="s">
        <v>53</v>
      </c>
      <c r="M51" s="5" t="s">
        <v>17</v>
      </c>
      <c r="N51" s="5" t="s">
        <v>18</v>
      </c>
      <c r="O51" s="5" t="s">
        <v>37</v>
      </c>
    </row>
    <row r="52" spans="1:15" s="4" customFormat="1">
      <c r="A52" s="4">
        <v>51</v>
      </c>
      <c r="B52" s="5" t="s">
        <v>218</v>
      </c>
      <c r="C52" s="3">
        <v>45750</v>
      </c>
      <c r="D52" s="5" t="s">
        <v>39</v>
      </c>
      <c r="E52" s="5" t="s">
        <v>40</v>
      </c>
      <c r="F52" s="5" t="s">
        <v>34</v>
      </c>
      <c r="G52" s="5">
        <v>5</v>
      </c>
      <c r="H52" s="5">
        <v>5</v>
      </c>
      <c r="I52" s="5">
        <v>2473</v>
      </c>
      <c r="J52" s="13">
        <v>764200</v>
      </c>
      <c r="K52" s="15">
        <f t="shared" si="0"/>
        <v>309.01738778811159</v>
      </c>
      <c r="L52" s="5" t="s">
        <v>24</v>
      </c>
      <c r="M52" s="5" t="s">
        <v>17</v>
      </c>
      <c r="N52" s="5" t="s">
        <v>30</v>
      </c>
      <c r="O52" s="5" t="s">
        <v>19</v>
      </c>
    </row>
    <row r="53" spans="1:15" s="4" customFormat="1">
      <c r="A53" s="4">
        <v>52</v>
      </c>
      <c r="B53" s="5" t="s">
        <v>197</v>
      </c>
      <c r="C53" s="3">
        <v>45691</v>
      </c>
      <c r="D53" s="5" t="s">
        <v>48</v>
      </c>
      <c r="E53" s="5" t="s">
        <v>58</v>
      </c>
      <c r="F53" s="5" t="s">
        <v>15</v>
      </c>
      <c r="G53" s="5">
        <v>5</v>
      </c>
      <c r="H53" s="5">
        <v>4</v>
      </c>
      <c r="I53" s="5">
        <v>2468</v>
      </c>
      <c r="J53" s="13">
        <v>1692100</v>
      </c>
      <c r="K53" s="15">
        <f t="shared" si="0"/>
        <v>685.61588330632094</v>
      </c>
      <c r="L53" s="5" t="s">
        <v>53</v>
      </c>
      <c r="M53" s="5" t="s">
        <v>29</v>
      </c>
      <c r="N53" s="5" t="s">
        <v>41</v>
      </c>
      <c r="O53" s="5" t="s">
        <v>42</v>
      </c>
    </row>
    <row r="54" spans="1:15" s="4" customFormat="1">
      <c r="A54" s="4">
        <v>53</v>
      </c>
      <c r="B54" s="5" t="s">
        <v>311</v>
      </c>
      <c r="C54" s="3">
        <v>46004</v>
      </c>
      <c r="D54" s="5" t="s">
        <v>21</v>
      </c>
      <c r="E54" s="5" t="s">
        <v>84</v>
      </c>
      <c r="F54" s="5" t="s">
        <v>15</v>
      </c>
      <c r="G54" s="5">
        <v>5</v>
      </c>
      <c r="H54" s="5">
        <v>5</v>
      </c>
      <c r="I54" s="5">
        <v>2444</v>
      </c>
      <c r="J54" s="13">
        <v>2449400</v>
      </c>
      <c r="K54" s="15">
        <f t="shared" si="0"/>
        <v>1002.2094926350245</v>
      </c>
      <c r="L54" s="5" t="s">
        <v>16</v>
      </c>
      <c r="M54" s="5" t="s">
        <v>29</v>
      </c>
      <c r="N54" s="5" t="s">
        <v>41</v>
      </c>
      <c r="O54" s="5" t="s">
        <v>46</v>
      </c>
    </row>
    <row r="55" spans="1:15" s="4" customFormat="1">
      <c r="A55" s="4">
        <v>54</v>
      </c>
      <c r="B55" s="5" t="s">
        <v>475</v>
      </c>
      <c r="C55" s="3">
        <v>45992</v>
      </c>
      <c r="D55" s="5" t="s">
        <v>27</v>
      </c>
      <c r="E55" s="5" t="s">
        <v>79</v>
      </c>
      <c r="F55" s="5" t="s">
        <v>52</v>
      </c>
      <c r="G55" s="5">
        <v>4</v>
      </c>
      <c r="H55" s="5">
        <v>4</v>
      </c>
      <c r="I55" s="5">
        <v>2443</v>
      </c>
      <c r="J55" s="13">
        <v>1757200</v>
      </c>
      <c r="K55" s="15">
        <f t="shared" si="0"/>
        <v>719.27957429390096</v>
      </c>
      <c r="L55" s="5" t="s">
        <v>16</v>
      </c>
      <c r="M55" s="5" t="s">
        <v>17</v>
      </c>
      <c r="N55" s="5" t="s">
        <v>30</v>
      </c>
      <c r="O55" s="5" t="s">
        <v>46</v>
      </c>
    </row>
    <row r="56" spans="1:15" s="4" customFormat="1">
      <c r="A56" s="4">
        <v>55</v>
      </c>
      <c r="B56" s="5" t="s">
        <v>257</v>
      </c>
      <c r="C56" s="3">
        <v>45892</v>
      </c>
      <c r="D56" s="5" t="s">
        <v>39</v>
      </c>
      <c r="E56" s="5" t="s">
        <v>40</v>
      </c>
      <c r="F56" s="5" t="s">
        <v>23</v>
      </c>
      <c r="G56" s="5">
        <v>5</v>
      </c>
      <c r="H56" s="5">
        <v>5</v>
      </c>
      <c r="I56" s="5">
        <v>2411</v>
      </c>
      <c r="J56" s="13">
        <v>1312400</v>
      </c>
      <c r="K56" s="15">
        <f t="shared" si="0"/>
        <v>544.33844877644128</v>
      </c>
      <c r="L56" s="5" t="s">
        <v>24</v>
      </c>
      <c r="M56" s="5" t="s">
        <v>17</v>
      </c>
      <c r="N56" s="5" t="s">
        <v>41</v>
      </c>
      <c r="O56" s="5" t="s">
        <v>46</v>
      </c>
    </row>
    <row r="57" spans="1:15" s="4" customFormat="1">
      <c r="A57" s="4">
        <v>56</v>
      </c>
      <c r="B57" s="5" t="s">
        <v>224</v>
      </c>
      <c r="C57" s="3">
        <v>46013</v>
      </c>
      <c r="D57" s="5" t="s">
        <v>39</v>
      </c>
      <c r="E57" s="5" t="s">
        <v>61</v>
      </c>
      <c r="F57" s="5" t="s">
        <v>34</v>
      </c>
      <c r="G57" s="5">
        <v>5</v>
      </c>
      <c r="H57" s="5">
        <v>5</v>
      </c>
      <c r="I57" s="5">
        <v>2410</v>
      </c>
      <c r="J57" s="13">
        <v>1467000</v>
      </c>
      <c r="K57" s="15">
        <f t="shared" si="0"/>
        <v>608.71369294605813</v>
      </c>
      <c r="L57" s="5" t="s">
        <v>53</v>
      </c>
      <c r="M57" s="5" t="s">
        <v>29</v>
      </c>
      <c r="N57" s="5" t="s">
        <v>18</v>
      </c>
      <c r="O57" s="5" t="s">
        <v>46</v>
      </c>
    </row>
    <row r="58" spans="1:15" s="4" customFormat="1">
      <c r="A58" s="4">
        <v>57</v>
      </c>
      <c r="B58" s="5" t="s">
        <v>224</v>
      </c>
      <c r="C58" s="3">
        <v>46013</v>
      </c>
      <c r="D58" s="5" t="s">
        <v>39</v>
      </c>
      <c r="E58" s="5" t="s">
        <v>61</v>
      </c>
      <c r="F58" s="5" t="s">
        <v>34</v>
      </c>
      <c r="G58" s="5">
        <v>5</v>
      </c>
      <c r="H58" s="5">
        <v>5</v>
      </c>
      <c r="I58" s="5">
        <v>2410</v>
      </c>
      <c r="J58" s="13">
        <v>1467000</v>
      </c>
      <c r="K58" s="15">
        <f t="shared" si="0"/>
        <v>608.71369294605813</v>
      </c>
      <c r="L58" s="5" t="s">
        <v>53</v>
      </c>
      <c r="M58" s="5" t="s">
        <v>29</v>
      </c>
      <c r="N58" s="5" t="s">
        <v>18</v>
      </c>
      <c r="O58" s="5" t="s">
        <v>46</v>
      </c>
    </row>
    <row r="59" spans="1:15" s="4" customFormat="1">
      <c r="A59" s="4">
        <v>58</v>
      </c>
      <c r="B59" s="5" t="s">
        <v>298</v>
      </c>
      <c r="C59" s="3">
        <v>45782</v>
      </c>
      <c r="D59" s="5" t="s">
        <v>32</v>
      </c>
      <c r="E59" s="5" t="s">
        <v>112</v>
      </c>
      <c r="F59" s="5" t="s">
        <v>52</v>
      </c>
      <c r="G59" s="5">
        <v>5</v>
      </c>
      <c r="H59" s="5">
        <v>5</v>
      </c>
      <c r="I59" s="5">
        <v>2409</v>
      </c>
      <c r="J59" s="13">
        <v>871200</v>
      </c>
      <c r="K59" s="15">
        <f t="shared" si="0"/>
        <v>361.64383561643837</v>
      </c>
      <c r="L59" s="5" t="s">
        <v>24</v>
      </c>
      <c r="M59" s="5" t="s">
        <v>29</v>
      </c>
      <c r="N59" s="5" t="s">
        <v>41</v>
      </c>
      <c r="O59" s="5" t="s">
        <v>25</v>
      </c>
    </row>
    <row r="60" spans="1:15" s="4" customFormat="1">
      <c r="A60" s="4">
        <v>59</v>
      </c>
      <c r="B60" s="5" t="s">
        <v>442</v>
      </c>
      <c r="C60" s="3">
        <v>45915</v>
      </c>
      <c r="D60" s="5" t="s">
        <v>14</v>
      </c>
      <c r="E60" s="5" t="s">
        <v>82</v>
      </c>
      <c r="F60" s="5" t="s">
        <v>34</v>
      </c>
      <c r="G60" s="5">
        <v>4</v>
      </c>
      <c r="H60" s="5">
        <v>4</v>
      </c>
      <c r="I60" s="5">
        <v>2392</v>
      </c>
      <c r="J60" s="13">
        <v>1677900</v>
      </c>
      <c r="K60" s="15">
        <f t="shared" si="0"/>
        <v>701.46321070234114</v>
      </c>
      <c r="L60" s="5" t="s">
        <v>24</v>
      </c>
      <c r="M60" s="5" t="s">
        <v>17</v>
      </c>
      <c r="N60" s="5" t="s">
        <v>41</v>
      </c>
      <c r="O60" s="5" t="s">
        <v>19</v>
      </c>
    </row>
    <row r="61" spans="1:15" s="4" customFormat="1">
      <c r="A61" s="4">
        <v>60</v>
      </c>
      <c r="B61" s="5" t="s">
        <v>26</v>
      </c>
      <c r="C61" s="3">
        <v>45830</v>
      </c>
      <c r="D61" s="5" t="s">
        <v>27</v>
      </c>
      <c r="E61" s="5" t="s">
        <v>28</v>
      </c>
      <c r="F61" s="5" t="s">
        <v>15</v>
      </c>
      <c r="G61" s="5">
        <v>5</v>
      </c>
      <c r="H61" s="5">
        <v>5</v>
      </c>
      <c r="I61" s="5">
        <v>2368</v>
      </c>
      <c r="J61" s="13">
        <v>1528300</v>
      </c>
      <c r="K61" s="15">
        <f t="shared" si="0"/>
        <v>645.39695945945948</v>
      </c>
      <c r="L61" s="5" t="s">
        <v>16</v>
      </c>
      <c r="M61" s="5" t="s">
        <v>29</v>
      </c>
      <c r="N61" s="5" t="s">
        <v>30</v>
      </c>
      <c r="O61" s="5" t="s">
        <v>19</v>
      </c>
    </row>
    <row r="62" spans="1:15" s="4" customFormat="1">
      <c r="A62" s="4">
        <v>61</v>
      </c>
      <c r="B62" s="5" t="s">
        <v>263</v>
      </c>
      <c r="C62" s="3">
        <v>45699</v>
      </c>
      <c r="D62" s="5" t="s">
        <v>48</v>
      </c>
      <c r="E62" s="5" t="s">
        <v>92</v>
      </c>
      <c r="F62" s="5" t="s">
        <v>23</v>
      </c>
      <c r="G62" s="5">
        <v>4</v>
      </c>
      <c r="H62" s="5">
        <v>3</v>
      </c>
      <c r="I62" s="5">
        <v>2365</v>
      </c>
      <c r="J62" s="13">
        <v>764200</v>
      </c>
      <c r="K62" s="15">
        <f t="shared" si="0"/>
        <v>323.12896405919662</v>
      </c>
      <c r="L62" s="5" t="s">
        <v>24</v>
      </c>
      <c r="M62" s="5" t="s">
        <v>17</v>
      </c>
      <c r="N62" s="5" t="s">
        <v>41</v>
      </c>
      <c r="O62" s="5" t="s">
        <v>42</v>
      </c>
    </row>
    <row r="63" spans="1:15" s="4" customFormat="1">
      <c r="A63" s="4">
        <v>62</v>
      </c>
      <c r="B63" s="5" t="s">
        <v>464</v>
      </c>
      <c r="C63" s="3">
        <v>45759</v>
      </c>
      <c r="D63" s="5" t="s">
        <v>48</v>
      </c>
      <c r="E63" s="5" t="s">
        <v>49</v>
      </c>
      <c r="F63" s="5" t="s">
        <v>52</v>
      </c>
      <c r="G63" s="5">
        <v>4</v>
      </c>
      <c r="H63" s="5">
        <v>3</v>
      </c>
      <c r="I63" s="5">
        <v>2357</v>
      </c>
      <c r="J63" s="13">
        <v>1524500</v>
      </c>
      <c r="K63" s="15">
        <f t="shared" si="0"/>
        <v>646.79677556215529</v>
      </c>
      <c r="L63" s="5" t="s">
        <v>24</v>
      </c>
      <c r="M63" s="5" t="s">
        <v>17</v>
      </c>
      <c r="N63" s="5" t="s">
        <v>30</v>
      </c>
      <c r="O63" s="5" t="s">
        <v>37</v>
      </c>
    </row>
    <row r="64" spans="1:15" s="4" customFormat="1">
      <c r="A64" s="4">
        <v>63</v>
      </c>
      <c r="B64" s="5" t="s">
        <v>198</v>
      </c>
      <c r="C64" s="3">
        <v>45699</v>
      </c>
      <c r="D64" s="5" t="s">
        <v>39</v>
      </c>
      <c r="E64" s="5" t="s">
        <v>40</v>
      </c>
      <c r="F64" s="5" t="s">
        <v>34</v>
      </c>
      <c r="G64" s="5">
        <v>4</v>
      </c>
      <c r="H64" s="5">
        <v>3</v>
      </c>
      <c r="I64" s="5">
        <v>2353</v>
      </c>
      <c r="J64" s="13">
        <v>1261600</v>
      </c>
      <c r="K64" s="15">
        <f t="shared" si="0"/>
        <v>536.16659583510409</v>
      </c>
      <c r="L64" s="5" t="s">
        <v>24</v>
      </c>
      <c r="M64" s="5" t="s">
        <v>29</v>
      </c>
      <c r="N64" s="5" t="s">
        <v>30</v>
      </c>
      <c r="O64" s="5" t="s">
        <v>37</v>
      </c>
    </row>
    <row r="65" spans="1:15" s="4" customFormat="1">
      <c r="A65" s="4">
        <v>64</v>
      </c>
      <c r="B65" s="5" t="s">
        <v>508</v>
      </c>
      <c r="C65" s="3">
        <v>45853</v>
      </c>
      <c r="D65" s="5" t="s">
        <v>44</v>
      </c>
      <c r="E65" s="5" t="s">
        <v>45</v>
      </c>
      <c r="F65" s="5" t="s">
        <v>23</v>
      </c>
      <c r="G65" s="5">
        <v>5</v>
      </c>
      <c r="H65" s="5">
        <v>5</v>
      </c>
      <c r="I65" s="5">
        <v>2351</v>
      </c>
      <c r="J65" s="13">
        <v>1098300</v>
      </c>
      <c r="K65" s="15">
        <f t="shared" si="0"/>
        <v>467.16290940025522</v>
      </c>
      <c r="L65" s="5" t="s">
        <v>16</v>
      </c>
      <c r="M65" s="5" t="s">
        <v>29</v>
      </c>
      <c r="N65" s="5" t="s">
        <v>41</v>
      </c>
      <c r="O65" s="5" t="s">
        <v>46</v>
      </c>
    </row>
    <row r="66" spans="1:15" s="4" customFormat="1">
      <c r="A66" s="4">
        <v>65</v>
      </c>
      <c r="B66" s="5" t="s">
        <v>518</v>
      </c>
      <c r="C66" s="3">
        <v>45997</v>
      </c>
      <c r="D66" s="5" t="s">
        <v>14</v>
      </c>
      <c r="E66" s="5" t="s">
        <v>82</v>
      </c>
      <c r="F66" s="5" t="s">
        <v>52</v>
      </c>
      <c r="G66" s="5">
        <v>4</v>
      </c>
      <c r="H66" s="5">
        <v>4</v>
      </c>
      <c r="I66" s="5">
        <v>2343</v>
      </c>
      <c r="J66" s="13">
        <v>1201200</v>
      </c>
      <c r="K66" s="15">
        <f t="shared" ref="K66:K129" si="1">J66/I66</f>
        <v>512.67605633802816</v>
      </c>
      <c r="L66" s="5" t="s">
        <v>53</v>
      </c>
      <c r="M66" s="5" t="s">
        <v>17</v>
      </c>
      <c r="N66" s="5" t="s">
        <v>30</v>
      </c>
      <c r="O66" s="5" t="s">
        <v>25</v>
      </c>
    </row>
    <row r="67" spans="1:15" s="4" customFormat="1">
      <c r="A67" s="4">
        <v>66</v>
      </c>
      <c r="B67" s="5" t="s">
        <v>167</v>
      </c>
      <c r="C67" s="3">
        <v>45766</v>
      </c>
      <c r="D67" s="5" t="s">
        <v>32</v>
      </c>
      <c r="E67" s="5" t="s">
        <v>77</v>
      </c>
      <c r="F67" s="5" t="s">
        <v>15</v>
      </c>
      <c r="G67" s="5">
        <v>5</v>
      </c>
      <c r="H67" s="5">
        <v>5</v>
      </c>
      <c r="I67" s="5">
        <v>2337</v>
      </c>
      <c r="J67" s="13">
        <v>634300</v>
      </c>
      <c r="K67" s="15">
        <f t="shared" si="1"/>
        <v>271.41634574240481</v>
      </c>
      <c r="L67" s="5" t="s">
        <v>24</v>
      </c>
      <c r="M67" s="5" t="s">
        <v>29</v>
      </c>
      <c r="N67" s="5" t="s">
        <v>18</v>
      </c>
      <c r="O67" s="5" t="s">
        <v>37</v>
      </c>
    </row>
    <row r="68" spans="1:15" s="4" customFormat="1">
      <c r="A68" s="4">
        <v>67</v>
      </c>
      <c r="B68" s="5" t="s">
        <v>196</v>
      </c>
      <c r="C68" s="3">
        <v>45844</v>
      </c>
      <c r="D68" s="5" t="s">
        <v>44</v>
      </c>
      <c r="E68" s="5" t="s">
        <v>65</v>
      </c>
      <c r="F68" s="5" t="s">
        <v>23</v>
      </c>
      <c r="G68" s="5">
        <v>4</v>
      </c>
      <c r="H68" s="5">
        <v>4</v>
      </c>
      <c r="I68" s="5">
        <v>2316</v>
      </c>
      <c r="J68" s="13">
        <v>1097400</v>
      </c>
      <c r="K68" s="15">
        <f t="shared" si="1"/>
        <v>473.83419689119171</v>
      </c>
      <c r="L68" s="5" t="s">
        <v>53</v>
      </c>
      <c r="M68" s="5" t="s">
        <v>17</v>
      </c>
      <c r="N68" s="5" t="s">
        <v>30</v>
      </c>
      <c r="O68" s="5" t="s">
        <v>25</v>
      </c>
    </row>
    <row r="69" spans="1:15" s="4" customFormat="1">
      <c r="A69" s="4">
        <v>68</v>
      </c>
      <c r="B69" s="5" t="s">
        <v>486</v>
      </c>
      <c r="C69" s="3">
        <v>45754</v>
      </c>
      <c r="D69" s="5" t="s">
        <v>32</v>
      </c>
      <c r="E69" s="5" t="s">
        <v>112</v>
      </c>
      <c r="F69" s="5" t="s">
        <v>23</v>
      </c>
      <c r="G69" s="5">
        <v>5</v>
      </c>
      <c r="H69" s="5">
        <v>5</v>
      </c>
      <c r="I69" s="5">
        <v>2308</v>
      </c>
      <c r="J69" s="13">
        <v>740600</v>
      </c>
      <c r="K69" s="15">
        <f t="shared" si="1"/>
        <v>320.88388214904677</v>
      </c>
      <c r="L69" s="5" t="s">
        <v>16</v>
      </c>
      <c r="M69" s="5" t="s">
        <v>29</v>
      </c>
      <c r="N69" s="5" t="s">
        <v>41</v>
      </c>
      <c r="O69" s="5" t="s">
        <v>35</v>
      </c>
    </row>
    <row r="70" spans="1:15" s="4" customFormat="1">
      <c r="A70" s="4">
        <v>69</v>
      </c>
      <c r="B70" s="5" t="s">
        <v>172</v>
      </c>
      <c r="C70" s="3">
        <v>45885</v>
      </c>
      <c r="D70" s="5" t="s">
        <v>21</v>
      </c>
      <c r="E70" s="5" t="s">
        <v>84</v>
      </c>
      <c r="F70" s="5" t="s">
        <v>52</v>
      </c>
      <c r="G70" s="5">
        <v>5</v>
      </c>
      <c r="H70" s="5">
        <v>5</v>
      </c>
      <c r="I70" s="5">
        <v>2307</v>
      </c>
      <c r="J70" s="13">
        <v>2467700</v>
      </c>
      <c r="K70" s="15">
        <f t="shared" si="1"/>
        <v>1069.6575639358475</v>
      </c>
      <c r="L70" s="5" t="s">
        <v>16</v>
      </c>
      <c r="M70" s="5" t="s">
        <v>29</v>
      </c>
      <c r="N70" s="5" t="s">
        <v>30</v>
      </c>
      <c r="O70" s="5" t="s">
        <v>35</v>
      </c>
    </row>
    <row r="71" spans="1:15" s="4" customFormat="1">
      <c r="A71" s="4">
        <v>70</v>
      </c>
      <c r="B71" s="5" t="s">
        <v>158</v>
      </c>
      <c r="C71" s="3">
        <v>45883</v>
      </c>
      <c r="D71" s="5" t="s">
        <v>44</v>
      </c>
      <c r="E71" s="5" t="s">
        <v>100</v>
      </c>
      <c r="F71" s="5" t="s">
        <v>23</v>
      </c>
      <c r="G71" s="5">
        <v>4</v>
      </c>
      <c r="H71" s="5">
        <v>4</v>
      </c>
      <c r="I71" s="5">
        <v>2305</v>
      </c>
      <c r="J71" s="13">
        <v>1007300</v>
      </c>
      <c r="K71" s="15">
        <f t="shared" si="1"/>
        <v>437.00650759219087</v>
      </c>
      <c r="L71" s="5" t="s">
        <v>16</v>
      </c>
      <c r="M71" s="5" t="s">
        <v>17</v>
      </c>
      <c r="N71" s="5" t="s">
        <v>41</v>
      </c>
      <c r="O71" s="5" t="s">
        <v>46</v>
      </c>
    </row>
    <row r="72" spans="1:15" s="4" customFormat="1">
      <c r="A72" s="4">
        <v>71</v>
      </c>
      <c r="B72" s="5" t="s">
        <v>192</v>
      </c>
      <c r="C72" s="3">
        <v>45981</v>
      </c>
      <c r="D72" s="5" t="s">
        <v>39</v>
      </c>
      <c r="E72" s="5" t="s">
        <v>51</v>
      </c>
      <c r="F72" s="5" t="s">
        <v>34</v>
      </c>
      <c r="G72" s="5">
        <v>5</v>
      </c>
      <c r="H72" s="5">
        <v>4</v>
      </c>
      <c r="I72" s="5">
        <v>2304</v>
      </c>
      <c r="J72" s="13">
        <v>1350700</v>
      </c>
      <c r="K72" s="15">
        <f t="shared" si="1"/>
        <v>586.24131944444446</v>
      </c>
      <c r="L72" s="5" t="s">
        <v>53</v>
      </c>
      <c r="M72" s="5" t="s">
        <v>17</v>
      </c>
      <c r="N72" s="5" t="s">
        <v>41</v>
      </c>
      <c r="O72" s="5" t="s">
        <v>19</v>
      </c>
    </row>
    <row r="73" spans="1:15" s="4" customFormat="1">
      <c r="A73" s="4">
        <v>72</v>
      </c>
      <c r="B73" s="5" t="s">
        <v>513</v>
      </c>
      <c r="C73" s="3">
        <v>45971</v>
      </c>
      <c r="D73" s="5" t="s">
        <v>39</v>
      </c>
      <c r="E73" s="5" t="s">
        <v>72</v>
      </c>
      <c r="F73" s="5" t="s">
        <v>23</v>
      </c>
      <c r="G73" s="5">
        <v>4</v>
      </c>
      <c r="H73" s="5">
        <v>4</v>
      </c>
      <c r="I73" s="5">
        <v>2303</v>
      </c>
      <c r="J73" s="13">
        <v>1285500</v>
      </c>
      <c r="K73" s="15">
        <f t="shared" si="1"/>
        <v>558.18497611810676</v>
      </c>
      <c r="L73" s="5" t="s">
        <v>24</v>
      </c>
      <c r="M73" s="5" t="s">
        <v>17</v>
      </c>
      <c r="N73" s="5" t="s">
        <v>18</v>
      </c>
      <c r="O73" s="5" t="s">
        <v>19</v>
      </c>
    </row>
    <row r="74" spans="1:15" s="4" customFormat="1">
      <c r="A74" s="4">
        <v>73</v>
      </c>
      <c r="B74" s="5" t="s">
        <v>357</v>
      </c>
      <c r="C74" s="3">
        <v>45712</v>
      </c>
      <c r="D74" s="5" t="s">
        <v>21</v>
      </c>
      <c r="E74" s="5" t="s">
        <v>22</v>
      </c>
      <c r="F74" s="5" t="s">
        <v>23</v>
      </c>
      <c r="G74" s="5">
        <v>5</v>
      </c>
      <c r="H74" s="5">
        <v>4</v>
      </c>
      <c r="I74" s="5">
        <v>2298</v>
      </c>
      <c r="J74" s="13">
        <v>2144200</v>
      </c>
      <c r="K74" s="15">
        <f t="shared" si="1"/>
        <v>933.07223672758926</v>
      </c>
      <c r="L74" s="5" t="s">
        <v>16</v>
      </c>
      <c r="M74" s="5" t="s">
        <v>17</v>
      </c>
      <c r="N74" s="5" t="s">
        <v>30</v>
      </c>
      <c r="O74" s="5" t="s">
        <v>37</v>
      </c>
    </row>
    <row r="75" spans="1:15" s="4" customFormat="1">
      <c r="A75" s="4">
        <v>74</v>
      </c>
      <c r="B75" s="5" t="s">
        <v>432</v>
      </c>
      <c r="C75" s="3">
        <v>45992</v>
      </c>
      <c r="D75" s="5" t="s">
        <v>39</v>
      </c>
      <c r="E75" s="5" t="s">
        <v>51</v>
      </c>
      <c r="F75" s="5" t="s">
        <v>15</v>
      </c>
      <c r="G75" s="5">
        <v>5</v>
      </c>
      <c r="H75" s="5">
        <v>5</v>
      </c>
      <c r="I75" s="5">
        <v>2286</v>
      </c>
      <c r="J75" s="13">
        <v>1205700</v>
      </c>
      <c r="K75" s="15">
        <f t="shared" si="1"/>
        <v>527.42782152230973</v>
      </c>
      <c r="L75" s="5" t="s">
        <v>16</v>
      </c>
      <c r="M75" s="5" t="s">
        <v>29</v>
      </c>
      <c r="N75" s="5" t="s">
        <v>30</v>
      </c>
      <c r="O75" s="5" t="s">
        <v>25</v>
      </c>
    </row>
    <row r="76" spans="1:15" s="4" customFormat="1">
      <c r="A76" s="4">
        <v>75</v>
      </c>
      <c r="B76" s="5" t="s">
        <v>204</v>
      </c>
      <c r="C76" s="3">
        <v>45853</v>
      </c>
      <c r="D76" s="5" t="s">
        <v>48</v>
      </c>
      <c r="E76" s="5" t="s">
        <v>92</v>
      </c>
      <c r="F76" s="5" t="s">
        <v>34</v>
      </c>
      <c r="G76" s="5">
        <v>4</v>
      </c>
      <c r="H76" s="5">
        <v>3</v>
      </c>
      <c r="I76" s="5">
        <v>2278</v>
      </c>
      <c r="J76" s="13">
        <v>1585500</v>
      </c>
      <c r="K76" s="15">
        <f t="shared" si="1"/>
        <v>696.00526777875325</v>
      </c>
      <c r="L76" s="5" t="s">
        <v>24</v>
      </c>
      <c r="M76" s="5" t="s">
        <v>17</v>
      </c>
      <c r="N76" s="5" t="s">
        <v>18</v>
      </c>
      <c r="O76" s="5" t="s">
        <v>46</v>
      </c>
    </row>
    <row r="77" spans="1:15" s="4" customFormat="1">
      <c r="A77" s="4">
        <v>76</v>
      </c>
      <c r="B77" s="5" t="s">
        <v>342</v>
      </c>
      <c r="C77" s="3">
        <v>45800</v>
      </c>
      <c r="D77" s="5" t="s">
        <v>27</v>
      </c>
      <c r="E77" s="5" t="s">
        <v>69</v>
      </c>
      <c r="F77" s="5" t="s">
        <v>52</v>
      </c>
      <c r="G77" s="5">
        <v>4</v>
      </c>
      <c r="H77" s="5">
        <v>4</v>
      </c>
      <c r="I77" s="5">
        <v>2268</v>
      </c>
      <c r="J77" s="13">
        <v>1744200</v>
      </c>
      <c r="K77" s="15">
        <f t="shared" si="1"/>
        <v>769.04761904761904</v>
      </c>
      <c r="L77" s="5" t="s">
        <v>16</v>
      </c>
      <c r="M77" s="5" t="s">
        <v>17</v>
      </c>
      <c r="N77" s="5" t="s">
        <v>18</v>
      </c>
      <c r="O77" s="5" t="s">
        <v>35</v>
      </c>
    </row>
    <row r="78" spans="1:15" s="4" customFormat="1">
      <c r="A78" s="4">
        <v>77</v>
      </c>
      <c r="B78" s="5" t="s">
        <v>325</v>
      </c>
      <c r="C78" s="3">
        <v>45799</v>
      </c>
      <c r="D78" s="5" t="s">
        <v>32</v>
      </c>
      <c r="E78" s="5" t="s">
        <v>61</v>
      </c>
      <c r="F78" s="5" t="s">
        <v>23</v>
      </c>
      <c r="G78" s="5">
        <v>5</v>
      </c>
      <c r="H78" s="5">
        <v>5</v>
      </c>
      <c r="I78" s="5">
        <v>2263</v>
      </c>
      <c r="J78" s="13">
        <v>827100</v>
      </c>
      <c r="K78" s="15">
        <f t="shared" si="1"/>
        <v>365.48828988068936</v>
      </c>
      <c r="L78" s="5" t="s">
        <v>24</v>
      </c>
      <c r="M78" s="5" t="s">
        <v>29</v>
      </c>
      <c r="N78" s="5" t="s">
        <v>41</v>
      </c>
      <c r="O78" s="5" t="s">
        <v>46</v>
      </c>
    </row>
    <row r="79" spans="1:15" s="4" customFormat="1">
      <c r="A79" s="4">
        <v>78</v>
      </c>
      <c r="B79" s="5" t="s">
        <v>346</v>
      </c>
      <c r="C79" s="3">
        <v>45792</v>
      </c>
      <c r="D79" s="5" t="s">
        <v>44</v>
      </c>
      <c r="E79" s="5" t="s">
        <v>100</v>
      </c>
      <c r="F79" s="5" t="s">
        <v>15</v>
      </c>
      <c r="G79" s="5">
        <v>5</v>
      </c>
      <c r="H79" s="5">
        <v>5</v>
      </c>
      <c r="I79" s="5">
        <v>2257</v>
      </c>
      <c r="J79" s="13">
        <v>968300</v>
      </c>
      <c r="K79" s="15">
        <f t="shared" si="1"/>
        <v>429.02082410279132</v>
      </c>
      <c r="L79" s="5" t="s">
        <v>24</v>
      </c>
      <c r="M79" s="5" t="s">
        <v>29</v>
      </c>
      <c r="N79" s="5" t="s">
        <v>30</v>
      </c>
      <c r="O79" s="5" t="s">
        <v>564</v>
      </c>
    </row>
    <row r="80" spans="1:15" s="4" customFormat="1">
      <c r="A80" s="4">
        <v>79</v>
      </c>
      <c r="B80" s="5" t="s">
        <v>419</v>
      </c>
      <c r="C80" s="3">
        <v>45974</v>
      </c>
      <c r="D80" s="5" t="s">
        <v>14</v>
      </c>
      <c r="E80" s="5" t="s">
        <v>56</v>
      </c>
      <c r="F80" s="5" t="s">
        <v>52</v>
      </c>
      <c r="G80" s="5">
        <v>5</v>
      </c>
      <c r="H80" s="5">
        <v>5</v>
      </c>
      <c r="I80" s="5">
        <v>2221</v>
      </c>
      <c r="J80" s="13">
        <v>1305900</v>
      </c>
      <c r="K80" s="15">
        <f t="shared" si="1"/>
        <v>587.97838811346242</v>
      </c>
      <c r="L80" s="5" t="s">
        <v>16</v>
      </c>
      <c r="M80" s="5" t="s">
        <v>17</v>
      </c>
      <c r="N80" s="5" t="s">
        <v>18</v>
      </c>
      <c r="O80" s="5" t="s">
        <v>19</v>
      </c>
    </row>
    <row r="81" spans="1:15" s="4" customFormat="1">
      <c r="A81" s="4">
        <v>80</v>
      </c>
      <c r="B81" s="5" t="s">
        <v>254</v>
      </c>
      <c r="C81" s="3">
        <v>45703</v>
      </c>
      <c r="D81" s="5" t="s">
        <v>39</v>
      </c>
      <c r="E81" s="5" t="s">
        <v>51</v>
      </c>
      <c r="F81" s="5" t="s">
        <v>23</v>
      </c>
      <c r="G81" s="5">
        <v>5</v>
      </c>
      <c r="H81" s="5">
        <v>5</v>
      </c>
      <c r="I81" s="5">
        <v>2219</v>
      </c>
      <c r="J81" s="13">
        <v>1402100</v>
      </c>
      <c r="K81" s="15">
        <f t="shared" si="1"/>
        <v>631.8611987381704</v>
      </c>
      <c r="L81" s="5" t="s">
        <v>24</v>
      </c>
      <c r="M81" s="5" t="s">
        <v>29</v>
      </c>
      <c r="N81" s="5" t="s">
        <v>41</v>
      </c>
      <c r="O81" s="5" t="s">
        <v>42</v>
      </c>
    </row>
    <row r="82" spans="1:15" s="4" customFormat="1">
      <c r="A82" s="4">
        <v>81</v>
      </c>
      <c r="B82" s="5" t="s">
        <v>369</v>
      </c>
      <c r="C82" s="3">
        <v>45960</v>
      </c>
      <c r="D82" s="5" t="s">
        <v>44</v>
      </c>
      <c r="E82" s="5" t="s">
        <v>45</v>
      </c>
      <c r="F82" s="5" t="s">
        <v>34</v>
      </c>
      <c r="G82" s="5">
        <v>5</v>
      </c>
      <c r="H82" s="5">
        <v>4</v>
      </c>
      <c r="I82" s="5">
        <v>2204</v>
      </c>
      <c r="J82" s="13">
        <v>1107600</v>
      </c>
      <c r="K82" s="15">
        <f t="shared" si="1"/>
        <v>502.54083484573505</v>
      </c>
      <c r="L82" s="5" t="s">
        <v>16</v>
      </c>
      <c r="M82" s="5" t="s">
        <v>17</v>
      </c>
      <c r="N82" s="5" t="s">
        <v>41</v>
      </c>
      <c r="O82" s="5" t="s">
        <v>35</v>
      </c>
    </row>
    <row r="83" spans="1:15" s="4" customFormat="1">
      <c r="A83" s="4">
        <v>82</v>
      </c>
      <c r="B83" s="5" t="s">
        <v>106</v>
      </c>
      <c r="C83" s="3">
        <v>45780</v>
      </c>
      <c r="D83" s="5" t="s">
        <v>48</v>
      </c>
      <c r="E83" s="5" t="s">
        <v>92</v>
      </c>
      <c r="F83" s="5" t="s">
        <v>34</v>
      </c>
      <c r="G83" s="5">
        <v>5</v>
      </c>
      <c r="H83" s="5">
        <v>4</v>
      </c>
      <c r="I83" s="5">
        <v>2202</v>
      </c>
      <c r="J83" s="13">
        <v>1620400</v>
      </c>
      <c r="K83" s="15">
        <f t="shared" si="1"/>
        <v>735.87647593097188</v>
      </c>
      <c r="L83" s="5" t="s">
        <v>53</v>
      </c>
      <c r="M83" s="5" t="s">
        <v>17</v>
      </c>
      <c r="N83" s="5" t="s">
        <v>18</v>
      </c>
      <c r="O83" s="5" t="s">
        <v>42</v>
      </c>
    </row>
    <row r="84" spans="1:15" s="4" customFormat="1">
      <c r="A84" s="4">
        <v>83</v>
      </c>
      <c r="B84" s="5" t="s">
        <v>59</v>
      </c>
      <c r="C84" s="3">
        <v>45740</v>
      </c>
      <c r="D84" s="5" t="s">
        <v>27</v>
      </c>
      <c r="E84" s="5" t="s">
        <v>56</v>
      </c>
      <c r="F84" s="5" t="s">
        <v>34</v>
      </c>
      <c r="G84" s="5">
        <v>5</v>
      </c>
      <c r="H84" s="5">
        <v>4</v>
      </c>
      <c r="I84" s="5">
        <v>2200</v>
      </c>
      <c r="J84" s="13">
        <v>1692000</v>
      </c>
      <c r="K84" s="15">
        <f t="shared" si="1"/>
        <v>769.09090909090912</v>
      </c>
      <c r="L84" s="5" t="s">
        <v>24</v>
      </c>
      <c r="M84" s="5" t="s">
        <v>29</v>
      </c>
      <c r="N84" s="5" t="s">
        <v>41</v>
      </c>
      <c r="O84" s="5" t="s">
        <v>37</v>
      </c>
    </row>
    <row r="85" spans="1:15" s="4" customFormat="1">
      <c r="A85" s="4">
        <v>84</v>
      </c>
      <c r="B85" s="5" t="s">
        <v>429</v>
      </c>
      <c r="C85" s="3">
        <v>45835</v>
      </c>
      <c r="D85" s="5" t="s">
        <v>27</v>
      </c>
      <c r="E85" s="5" t="s">
        <v>56</v>
      </c>
      <c r="F85" s="5" t="s">
        <v>52</v>
      </c>
      <c r="G85" s="5">
        <v>4</v>
      </c>
      <c r="H85" s="5">
        <v>3</v>
      </c>
      <c r="I85" s="5">
        <v>2196</v>
      </c>
      <c r="J85" s="13">
        <v>1528700</v>
      </c>
      <c r="K85" s="15">
        <f t="shared" si="1"/>
        <v>696.12932604735886</v>
      </c>
      <c r="L85" s="5" t="s">
        <v>24</v>
      </c>
      <c r="M85" s="5" t="s">
        <v>17</v>
      </c>
      <c r="N85" s="5" t="s">
        <v>18</v>
      </c>
      <c r="O85" s="5" t="s">
        <v>35</v>
      </c>
    </row>
    <row r="86" spans="1:15" s="4" customFormat="1">
      <c r="A86" s="4">
        <v>85</v>
      </c>
      <c r="B86" s="5" t="s">
        <v>481</v>
      </c>
      <c r="C86" s="3">
        <v>45751</v>
      </c>
      <c r="D86" s="5" t="s">
        <v>44</v>
      </c>
      <c r="E86" s="5" t="s">
        <v>75</v>
      </c>
      <c r="F86" s="5" t="s">
        <v>23</v>
      </c>
      <c r="G86" s="5">
        <v>5</v>
      </c>
      <c r="H86" s="5">
        <v>4</v>
      </c>
      <c r="I86" s="5">
        <v>2187</v>
      </c>
      <c r="J86" s="13">
        <v>1092700</v>
      </c>
      <c r="K86" s="15">
        <f t="shared" si="1"/>
        <v>499.63420210333788</v>
      </c>
      <c r="L86" s="5" t="s">
        <v>24</v>
      </c>
      <c r="M86" s="5" t="s">
        <v>17</v>
      </c>
      <c r="N86" s="5" t="s">
        <v>18</v>
      </c>
      <c r="O86" s="5" t="s">
        <v>42</v>
      </c>
    </row>
    <row r="87" spans="1:15" s="4" customFormat="1">
      <c r="A87" s="4">
        <v>86</v>
      </c>
      <c r="B87" s="5" t="s">
        <v>165</v>
      </c>
      <c r="C87" s="3">
        <v>45973</v>
      </c>
      <c r="D87" s="5" t="s">
        <v>14</v>
      </c>
      <c r="E87" s="5" t="s">
        <v>56</v>
      </c>
      <c r="F87" s="5" t="s">
        <v>52</v>
      </c>
      <c r="G87" s="5">
        <v>4</v>
      </c>
      <c r="H87" s="5">
        <v>4</v>
      </c>
      <c r="I87" s="5">
        <v>2183</v>
      </c>
      <c r="J87" s="13">
        <v>1393200</v>
      </c>
      <c r="K87" s="15">
        <f t="shared" si="1"/>
        <v>638.20430600091618</v>
      </c>
      <c r="L87" s="5" t="s">
        <v>53</v>
      </c>
      <c r="M87" s="5" t="s">
        <v>17</v>
      </c>
      <c r="N87" s="5" t="s">
        <v>18</v>
      </c>
      <c r="O87" s="5" t="s">
        <v>42</v>
      </c>
    </row>
    <row r="88" spans="1:15" s="4" customFormat="1">
      <c r="A88" s="4">
        <v>87</v>
      </c>
      <c r="B88" s="5" t="s">
        <v>484</v>
      </c>
      <c r="C88" s="3">
        <v>45680</v>
      </c>
      <c r="D88" s="5" t="s">
        <v>14</v>
      </c>
      <c r="E88" s="5" t="s">
        <v>56</v>
      </c>
      <c r="F88" s="5" t="s">
        <v>15</v>
      </c>
      <c r="G88" s="5">
        <v>5</v>
      </c>
      <c r="H88" s="5">
        <v>4</v>
      </c>
      <c r="I88" s="5">
        <v>2176</v>
      </c>
      <c r="J88" s="13">
        <v>1172900</v>
      </c>
      <c r="K88" s="15">
        <f t="shared" si="1"/>
        <v>539.01654411764707</v>
      </c>
      <c r="L88" s="5" t="s">
        <v>24</v>
      </c>
      <c r="M88" s="5" t="s">
        <v>17</v>
      </c>
      <c r="N88" s="5" t="s">
        <v>18</v>
      </c>
      <c r="O88" s="5" t="s">
        <v>25</v>
      </c>
    </row>
    <row r="89" spans="1:15" s="4" customFormat="1">
      <c r="A89" s="4">
        <v>88</v>
      </c>
      <c r="B89" s="5" t="s">
        <v>404</v>
      </c>
      <c r="C89" s="3">
        <v>45856</v>
      </c>
      <c r="D89" s="5" t="s">
        <v>14</v>
      </c>
      <c r="E89" s="5" t="s">
        <v>56</v>
      </c>
      <c r="F89" s="5" t="s">
        <v>15</v>
      </c>
      <c r="G89" s="5">
        <v>4</v>
      </c>
      <c r="H89" s="5">
        <v>4</v>
      </c>
      <c r="I89" s="5">
        <v>2165</v>
      </c>
      <c r="J89" s="13">
        <v>1182400</v>
      </c>
      <c r="K89" s="15">
        <f t="shared" si="1"/>
        <v>546.14318706697463</v>
      </c>
      <c r="L89" s="5" t="s">
        <v>24</v>
      </c>
      <c r="M89" s="5" t="s">
        <v>29</v>
      </c>
      <c r="N89" s="5" t="s">
        <v>41</v>
      </c>
      <c r="O89" s="5" t="s">
        <v>42</v>
      </c>
    </row>
    <row r="90" spans="1:15" s="4" customFormat="1">
      <c r="A90" s="4">
        <v>89</v>
      </c>
      <c r="B90" s="5" t="s">
        <v>215</v>
      </c>
      <c r="C90" s="3">
        <v>45761</v>
      </c>
      <c r="D90" s="5" t="s">
        <v>48</v>
      </c>
      <c r="E90" s="5" t="s">
        <v>92</v>
      </c>
      <c r="F90" s="5" t="s">
        <v>15</v>
      </c>
      <c r="G90" s="5">
        <v>4</v>
      </c>
      <c r="H90" s="5">
        <v>4</v>
      </c>
      <c r="I90" s="5">
        <v>2148</v>
      </c>
      <c r="J90" s="13">
        <v>1242600</v>
      </c>
      <c r="K90" s="15">
        <f t="shared" si="1"/>
        <v>578.49162011173189</v>
      </c>
      <c r="L90" s="5" t="s">
        <v>16</v>
      </c>
      <c r="M90" s="5" t="s">
        <v>29</v>
      </c>
      <c r="N90" s="5" t="s">
        <v>18</v>
      </c>
      <c r="O90" s="5" t="s">
        <v>37</v>
      </c>
    </row>
    <row r="91" spans="1:15" s="4" customFormat="1">
      <c r="A91" s="4">
        <v>90</v>
      </c>
      <c r="B91" s="5" t="s">
        <v>366</v>
      </c>
      <c r="C91" s="3">
        <v>45947</v>
      </c>
      <c r="D91" s="5" t="s">
        <v>44</v>
      </c>
      <c r="E91" s="5" t="s">
        <v>65</v>
      </c>
      <c r="F91" s="5" t="s">
        <v>52</v>
      </c>
      <c r="G91" s="5">
        <v>5</v>
      </c>
      <c r="H91" s="5">
        <v>4</v>
      </c>
      <c r="I91" s="5">
        <v>2142</v>
      </c>
      <c r="J91" s="13">
        <v>954900</v>
      </c>
      <c r="K91" s="15">
        <f t="shared" si="1"/>
        <v>445.79831932773106</v>
      </c>
      <c r="L91" s="5" t="s">
        <v>24</v>
      </c>
      <c r="M91" s="5" t="s">
        <v>17</v>
      </c>
      <c r="N91" s="5" t="s">
        <v>30</v>
      </c>
      <c r="O91" s="5" t="s">
        <v>37</v>
      </c>
    </row>
    <row r="92" spans="1:15" s="4" customFormat="1">
      <c r="A92" s="4">
        <v>91</v>
      </c>
      <c r="B92" s="5" t="s">
        <v>36</v>
      </c>
      <c r="C92" s="3">
        <v>45698</v>
      </c>
      <c r="D92" s="5" t="s">
        <v>32</v>
      </c>
      <c r="E92" s="5" t="s">
        <v>33</v>
      </c>
      <c r="F92" s="5" t="s">
        <v>23</v>
      </c>
      <c r="G92" s="5">
        <v>4</v>
      </c>
      <c r="H92" s="5">
        <v>4</v>
      </c>
      <c r="I92" s="5">
        <v>2135</v>
      </c>
      <c r="J92" s="13">
        <v>662800</v>
      </c>
      <c r="K92" s="15">
        <f t="shared" si="1"/>
        <v>310.44496487119437</v>
      </c>
      <c r="L92" s="5" t="s">
        <v>16</v>
      </c>
      <c r="M92" s="5" t="s">
        <v>29</v>
      </c>
      <c r="N92" s="5" t="s">
        <v>30</v>
      </c>
      <c r="O92" s="5" t="s">
        <v>37</v>
      </c>
    </row>
    <row r="93" spans="1:15" s="4" customFormat="1">
      <c r="A93" s="4">
        <v>92</v>
      </c>
      <c r="B93" s="5" t="s">
        <v>488</v>
      </c>
      <c r="C93" s="3">
        <v>46006</v>
      </c>
      <c r="D93" s="5" t="s">
        <v>39</v>
      </c>
      <c r="E93" s="5" t="s">
        <v>40</v>
      </c>
      <c r="F93" s="5" t="s">
        <v>34</v>
      </c>
      <c r="G93" s="5">
        <v>5</v>
      </c>
      <c r="H93" s="5">
        <v>4</v>
      </c>
      <c r="I93" s="5">
        <v>2119</v>
      </c>
      <c r="J93" s="13">
        <v>1177800</v>
      </c>
      <c r="K93" s="15">
        <f t="shared" si="1"/>
        <v>555.82822085889575</v>
      </c>
      <c r="L93" s="5" t="s">
        <v>53</v>
      </c>
      <c r="M93" s="5" t="s">
        <v>29</v>
      </c>
      <c r="N93" s="5" t="s">
        <v>30</v>
      </c>
      <c r="O93" s="5" t="s">
        <v>35</v>
      </c>
    </row>
    <row r="94" spans="1:15" s="4" customFormat="1">
      <c r="A94" s="4">
        <v>93</v>
      </c>
      <c r="B94" s="5" t="s">
        <v>304</v>
      </c>
      <c r="C94" s="3">
        <v>46012</v>
      </c>
      <c r="D94" s="5" t="s">
        <v>27</v>
      </c>
      <c r="E94" s="5" t="s">
        <v>79</v>
      </c>
      <c r="F94" s="5" t="s">
        <v>15</v>
      </c>
      <c r="G94" s="5">
        <v>4</v>
      </c>
      <c r="H94" s="5">
        <v>4</v>
      </c>
      <c r="I94" s="5">
        <v>2119</v>
      </c>
      <c r="J94" s="13">
        <v>1624800</v>
      </c>
      <c r="K94" s="15">
        <f t="shared" si="1"/>
        <v>766.7767815007079</v>
      </c>
      <c r="L94" s="5" t="s">
        <v>16</v>
      </c>
      <c r="M94" s="5" t="s">
        <v>17</v>
      </c>
      <c r="N94" s="5" t="s">
        <v>41</v>
      </c>
      <c r="O94" s="5" t="s">
        <v>25</v>
      </c>
    </row>
    <row r="95" spans="1:15" s="4" customFormat="1">
      <c r="A95" s="4">
        <v>94</v>
      </c>
      <c r="B95" s="5" t="s">
        <v>31</v>
      </c>
      <c r="C95" s="3">
        <v>45932</v>
      </c>
      <c r="D95" s="5" t="s">
        <v>32</v>
      </c>
      <c r="E95" s="5" t="s">
        <v>33</v>
      </c>
      <c r="F95" s="5" t="s">
        <v>34</v>
      </c>
      <c r="G95" s="5">
        <v>5</v>
      </c>
      <c r="H95" s="5">
        <v>5</v>
      </c>
      <c r="I95" s="5">
        <v>2111</v>
      </c>
      <c r="J95" s="13">
        <v>763900</v>
      </c>
      <c r="K95" s="15">
        <f t="shared" si="1"/>
        <v>361.8664140217906</v>
      </c>
      <c r="L95" s="5" t="s">
        <v>16</v>
      </c>
      <c r="M95" s="5" t="s">
        <v>17</v>
      </c>
      <c r="N95" s="5" t="s">
        <v>18</v>
      </c>
      <c r="O95" s="5" t="s">
        <v>35</v>
      </c>
    </row>
    <row r="96" spans="1:15" s="4" customFormat="1">
      <c r="A96" s="4">
        <v>95</v>
      </c>
      <c r="B96" s="5" t="s">
        <v>291</v>
      </c>
      <c r="C96" s="3">
        <v>45764</v>
      </c>
      <c r="D96" s="5" t="s">
        <v>27</v>
      </c>
      <c r="E96" s="5" t="s">
        <v>56</v>
      </c>
      <c r="F96" s="5" t="s">
        <v>23</v>
      </c>
      <c r="G96" s="5">
        <v>5</v>
      </c>
      <c r="H96" s="5">
        <v>5</v>
      </c>
      <c r="I96" s="5">
        <v>2098</v>
      </c>
      <c r="J96" s="13">
        <v>1402500</v>
      </c>
      <c r="K96" s="15">
        <f t="shared" si="1"/>
        <v>668.49380362249758</v>
      </c>
      <c r="L96" s="5" t="s">
        <v>24</v>
      </c>
      <c r="M96" s="5" t="s">
        <v>29</v>
      </c>
      <c r="N96" s="5" t="s">
        <v>41</v>
      </c>
      <c r="O96" s="5" t="s">
        <v>25</v>
      </c>
    </row>
    <row r="97" spans="1:15" s="4" customFormat="1">
      <c r="A97" s="4">
        <v>96</v>
      </c>
      <c r="B97" s="5" t="s">
        <v>93</v>
      </c>
      <c r="C97" s="3">
        <v>45771</v>
      </c>
      <c r="D97" s="5" t="s">
        <v>48</v>
      </c>
      <c r="E97" s="5" t="s">
        <v>49</v>
      </c>
      <c r="F97" s="5" t="s">
        <v>52</v>
      </c>
      <c r="G97" s="5">
        <v>5</v>
      </c>
      <c r="H97" s="5">
        <v>5</v>
      </c>
      <c r="I97" s="5">
        <v>2097</v>
      </c>
      <c r="J97" s="13">
        <v>1591200</v>
      </c>
      <c r="K97" s="15">
        <f t="shared" si="1"/>
        <v>758.79828326180257</v>
      </c>
      <c r="L97" s="5" t="s">
        <v>16</v>
      </c>
      <c r="M97" s="5" t="s">
        <v>17</v>
      </c>
      <c r="N97" s="5" t="s">
        <v>30</v>
      </c>
      <c r="O97" s="5" t="s">
        <v>37</v>
      </c>
    </row>
    <row r="98" spans="1:15" s="4" customFormat="1">
      <c r="A98" s="4">
        <v>97</v>
      </c>
      <c r="B98" s="5" t="s">
        <v>231</v>
      </c>
      <c r="C98" s="3">
        <v>45705</v>
      </c>
      <c r="D98" s="5" t="s">
        <v>44</v>
      </c>
      <c r="E98" s="5" t="s">
        <v>100</v>
      </c>
      <c r="F98" s="5" t="s">
        <v>23</v>
      </c>
      <c r="G98" s="5">
        <v>4</v>
      </c>
      <c r="H98" s="5">
        <v>4</v>
      </c>
      <c r="I98" s="5">
        <v>2091</v>
      </c>
      <c r="J98" s="13">
        <v>992000</v>
      </c>
      <c r="K98" s="15">
        <f t="shared" si="1"/>
        <v>474.41415590626497</v>
      </c>
      <c r="L98" s="5" t="s">
        <v>24</v>
      </c>
      <c r="M98" s="5" t="s">
        <v>29</v>
      </c>
      <c r="N98" s="5" t="s">
        <v>41</v>
      </c>
      <c r="O98" s="5" t="s">
        <v>35</v>
      </c>
    </row>
    <row r="99" spans="1:15" s="4" customFormat="1">
      <c r="A99" s="4">
        <v>98</v>
      </c>
      <c r="B99" s="5" t="s">
        <v>512</v>
      </c>
      <c r="C99" s="3">
        <v>45886</v>
      </c>
      <c r="D99" s="5" t="s">
        <v>32</v>
      </c>
      <c r="E99" s="5" t="s">
        <v>77</v>
      </c>
      <c r="F99" s="5" t="s">
        <v>23</v>
      </c>
      <c r="G99" s="5">
        <v>5</v>
      </c>
      <c r="H99" s="5">
        <v>5</v>
      </c>
      <c r="I99" s="5">
        <v>2087</v>
      </c>
      <c r="J99" s="13">
        <v>684000</v>
      </c>
      <c r="K99" s="15">
        <f t="shared" si="1"/>
        <v>327.74317201724966</v>
      </c>
      <c r="L99" s="5" t="s">
        <v>16</v>
      </c>
      <c r="M99" s="5" t="s">
        <v>17</v>
      </c>
      <c r="N99" s="5" t="s">
        <v>41</v>
      </c>
      <c r="O99" s="5" t="s">
        <v>37</v>
      </c>
    </row>
    <row r="100" spans="1:15" s="4" customFormat="1">
      <c r="A100" s="4">
        <v>99</v>
      </c>
      <c r="B100" s="5" t="s">
        <v>140</v>
      </c>
      <c r="C100" s="3">
        <v>45819</v>
      </c>
      <c r="D100" s="5" t="s">
        <v>39</v>
      </c>
      <c r="E100" s="5" t="s">
        <v>51</v>
      </c>
      <c r="F100" s="5" t="s">
        <v>34</v>
      </c>
      <c r="G100" s="5">
        <v>4</v>
      </c>
      <c r="H100" s="5">
        <v>4</v>
      </c>
      <c r="I100" s="5">
        <v>2068</v>
      </c>
      <c r="J100" s="13">
        <v>1207800</v>
      </c>
      <c r="K100" s="15">
        <f t="shared" si="1"/>
        <v>584.04255319148933</v>
      </c>
      <c r="L100" s="5" t="s">
        <v>53</v>
      </c>
      <c r="M100" s="5" t="s">
        <v>17</v>
      </c>
      <c r="N100" s="5" t="s">
        <v>18</v>
      </c>
      <c r="O100" s="5" t="s">
        <v>25</v>
      </c>
    </row>
    <row r="101" spans="1:15" s="4" customFormat="1">
      <c r="A101" s="4">
        <v>100</v>
      </c>
      <c r="B101" s="5" t="s">
        <v>374</v>
      </c>
      <c r="C101" s="3">
        <v>45808</v>
      </c>
      <c r="D101" s="5" t="s">
        <v>27</v>
      </c>
      <c r="E101" s="5" t="s">
        <v>28</v>
      </c>
      <c r="F101" s="5" t="s">
        <v>23</v>
      </c>
      <c r="G101" s="5">
        <v>4</v>
      </c>
      <c r="H101" s="5">
        <v>3</v>
      </c>
      <c r="I101" s="5">
        <v>2031</v>
      </c>
      <c r="J101" s="13">
        <v>1655500</v>
      </c>
      <c r="K101" s="15">
        <f t="shared" si="1"/>
        <v>815.11570654849822</v>
      </c>
      <c r="L101" s="5" t="s">
        <v>16</v>
      </c>
      <c r="M101" s="5" t="s">
        <v>29</v>
      </c>
      <c r="N101" s="5" t="s">
        <v>41</v>
      </c>
      <c r="O101" s="5" t="s">
        <v>19</v>
      </c>
    </row>
    <row r="102" spans="1:15" s="4" customFormat="1">
      <c r="A102" s="4">
        <v>101</v>
      </c>
      <c r="B102" s="5" t="s">
        <v>155</v>
      </c>
      <c r="C102" s="3">
        <v>45812</v>
      </c>
      <c r="D102" s="5" t="s">
        <v>32</v>
      </c>
      <c r="E102" s="5" t="s">
        <v>33</v>
      </c>
      <c r="F102" s="5" t="s">
        <v>52</v>
      </c>
      <c r="G102" s="5">
        <v>4</v>
      </c>
      <c r="H102" s="5">
        <v>4</v>
      </c>
      <c r="I102" s="5">
        <v>2027</v>
      </c>
      <c r="J102" s="13">
        <v>640600</v>
      </c>
      <c r="K102" s="15">
        <f t="shared" si="1"/>
        <v>316.0335471139615</v>
      </c>
      <c r="L102" s="5" t="s">
        <v>16</v>
      </c>
      <c r="M102" s="5" t="s">
        <v>17</v>
      </c>
      <c r="N102" s="5" t="s">
        <v>30</v>
      </c>
      <c r="O102" s="5" t="s">
        <v>19</v>
      </c>
    </row>
    <row r="103" spans="1:15" s="4" customFormat="1">
      <c r="A103" s="4">
        <v>102</v>
      </c>
      <c r="B103" s="5" t="s">
        <v>386</v>
      </c>
      <c r="C103" s="3">
        <v>45774</v>
      </c>
      <c r="D103" s="5" t="s">
        <v>14</v>
      </c>
      <c r="E103" s="5" t="s">
        <v>567</v>
      </c>
      <c r="F103" s="5" t="s">
        <v>15</v>
      </c>
      <c r="G103" s="5">
        <v>4</v>
      </c>
      <c r="H103" s="5">
        <v>4</v>
      </c>
      <c r="I103" s="5">
        <v>2026</v>
      </c>
      <c r="J103" s="13">
        <v>1208200</v>
      </c>
      <c r="K103" s="15">
        <f t="shared" si="1"/>
        <v>596.34748272458046</v>
      </c>
      <c r="L103" s="5" t="s">
        <v>24</v>
      </c>
      <c r="M103" s="5" t="s">
        <v>29</v>
      </c>
      <c r="N103" s="5" t="s">
        <v>30</v>
      </c>
      <c r="O103" s="5" t="s">
        <v>35</v>
      </c>
    </row>
    <row r="104" spans="1:15" s="4" customFormat="1">
      <c r="A104" s="4">
        <v>103</v>
      </c>
      <c r="B104" s="5" t="s">
        <v>358</v>
      </c>
      <c r="C104" s="3">
        <v>45704</v>
      </c>
      <c r="D104" s="5" t="s">
        <v>39</v>
      </c>
      <c r="E104" s="5" t="s">
        <v>61</v>
      </c>
      <c r="F104" s="5" t="s">
        <v>34</v>
      </c>
      <c r="G104" s="5">
        <v>5</v>
      </c>
      <c r="H104" s="5">
        <v>5</v>
      </c>
      <c r="I104" s="5">
        <v>2020</v>
      </c>
      <c r="J104" s="13">
        <v>1306100</v>
      </c>
      <c r="K104" s="15">
        <f t="shared" si="1"/>
        <v>646.58415841584156</v>
      </c>
      <c r="L104" s="5" t="s">
        <v>16</v>
      </c>
      <c r="M104" s="5" t="s">
        <v>17</v>
      </c>
      <c r="N104" s="5" t="s">
        <v>41</v>
      </c>
      <c r="O104" s="5" t="s">
        <v>42</v>
      </c>
    </row>
    <row r="105" spans="1:15" s="4" customFormat="1">
      <c r="A105" s="4">
        <v>104</v>
      </c>
      <c r="B105" s="5" t="s">
        <v>146</v>
      </c>
      <c r="C105" s="3">
        <v>45936</v>
      </c>
      <c r="D105" s="5" t="s">
        <v>14</v>
      </c>
      <c r="E105" s="5" t="s">
        <v>82</v>
      </c>
      <c r="F105" s="5" t="s">
        <v>52</v>
      </c>
      <c r="G105" s="5">
        <v>5</v>
      </c>
      <c r="H105" s="5">
        <v>5</v>
      </c>
      <c r="I105" s="5">
        <v>2011</v>
      </c>
      <c r="J105" s="13">
        <v>1126200</v>
      </c>
      <c r="K105" s="15">
        <f t="shared" si="1"/>
        <v>560.01989060169069</v>
      </c>
      <c r="L105" s="5" t="s">
        <v>53</v>
      </c>
      <c r="M105" s="5" t="s">
        <v>17</v>
      </c>
      <c r="N105" s="5" t="s">
        <v>30</v>
      </c>
      <c r="O105" s="5" t="s">
        <v>46</v>
      </c>
    </row>
    <row r="106" spans="1:15" s="4" customFormat="1">
      <c r="A106" s="4">
        <v>105</v>
      </c>
      <c r="B106" s="5" t="s">
        <v>459</v>
      </c>
      <c r="C106" s="3">
        <v>45915</v>
      </c>
      <c r="D106" s="5" t="s">
        <v>14</v>
      </c>
      <c r="E106" s="5" t="s">
        <v>567</v>
      </c>
      <c r="F106" s="5" t="s">
        <v>15</v>
      </c>
      <c r="G106" s="5">
        <v>4</v>
      </c>
      <c r="H106" s="5">
        <v>4</v>
      </c>
      <c r="I106" s="5">
        <v>2005</v>
      </c>
      <c r="J106" s="13">
        <v>1076900</v>
      </c>
      <c r="K106" s="15">
        <f t="shared" si="1"/>
        <v>537.10723192019952</v>
      </c>
      <c r="L106" s="5" t="s">
        <v>16</v>
      </c>
      <c r="M106" s="5" t="s">
        <v>17</v>
      </c>
      <c r="N106" s="5" t="s">
        <v>41</v>
      </c>
      <c r="O106" s="5" t="s">
        <v>37</v>
      </c>
    </row>
    <row r="107" spans="1:15" s="4" customFormat="1">
      <c r="A107" s="4">
        <v>106</v>
      </c>
      <c r="B107" s="5" t="s">
        <v>355</v>
      </c>
      <c r="C107" s="3">
        <v>45948</v>
      </c>
      <c r="D107" s="5" t="s">
        <v>21</v>
      </c>
      <c r="E107" s="5" t="s">
        <v>84</v>
      </c>
      <c r="F107" s="5" t="s">
        <v>23</v>
      </c>
      <c r="G107" s="5">
        <v>4</v>
      </c>
      <c r="H107" s="5">
        <v>4</v>
      </c>
      <c r="I107" s="5">
        <v>2000</v>
      </c>
      <c r="J107" s="13">
        <v>1847200</v>
      </c>
      <c r="K107" s="15">
        <f t="shared" si="1"/>
        <v>923.6</v>
      </c>
      <c r="L107" s="5" t="s">
        <v>16</v>
      </c>
      <c r="M107" s="5" t="s">
        <v>17</v>
      </c>
      <c r="N107" s="5" t="s">
        <v>41</v>
      </c>
      <c r="O107" s="5" t="s">
        <v>46</v>
      </c>
    </row>
    <row r="108" spans="1:15" s="4" customFormat="1">
      <c r="A108" s="4">
        <v>107</v>
      </c>
      <c r="B108" s="5" t="s">
        <v>324</v>
      </c>
      <c r="C108" s="3">
        <v>45744</v>
      </c>
      <c r="D108" s="5" t="s">
        <v>44</v>
      </c>
      <c r="E108" s="5" t="s">
        <v>45</v>
      </c>
      <c r="F108" s="5" t="s">
        <v>23</v>
      </c>
      <c r="G108" s="5">
        <v>5</v>
      </c>
      <c r="H108" s="5">
        <v>5</v>
      </c>
      <c r="I108" s="5">
        <v>1998</v>
      </c>
      <c r="J108" s="13">
        <v>943600</v>
      </c>
      <c r="K108" s="15">
        <f t="shared" si="1"/>
        <v>472.27227227227229</v>
      </c>
      <c r="L108" s="5" t="s">
        <v>53</v>
      </c>
      <c r="M108" s="5" t="s">
        <v>17</v>
      </c>
      <c r="N108" s="5" t="s">
        <v>30</v>
      </c>
      <c r="O108" s="5" t="s">
        <v>35</v>
      </c>
    </row>
    <row r="109" spans="1:15" s="4" customFormat="1">
      <c r="A109" s="4">
        <v>108</v>
      </c>
      <c r="B109" s="5" t="s">
        <v>476</v>
      </c>
      <c r="C109" s="3">
        <v>45914</v>
      </c>
      <c r="D109" s="5" t="s">
        <v>27</v>
      </c>
      <c r="E109" s="5" t="s">
        <v>69</v>
      </c>
      <c r="F109" s="5" t="s">
        <v>34</v>
      </c>
      <c r="G109" s="5">
        <v>5</v>
      </c>
      <c r="H109" s="5">
        <v>5</v>
      </c>
      <c r="I109" s="5">
        <v>1985</v>
      </c>
      <c r="J109" s="13">
        <v>1623400</v>
      </c>
      <c r="K109" s="15">
        <f t="shared" si="1"/>
        <v>817.83375314861462</v>
      </c>
      <c r="L109" s="5" t="s">
        <v>16</v>
      </c>
      <c r="M109" s="5" t="s">
        <v>17</v>
      </c>
      <c r="N109" s="5" t="s">
        <v>18</v>
      </c>
      <c r="O109" s="5" t="s">
        <v>46</v>
      </c>
    </row>
    <row r="110" spans="1:15" s="4" customFormat="1">
      <c r="A110" s="4">
        <v>109</v>
      </c>
      <c r="B110" s="5" t="s">
        <v>329</v>
      </c>
      <c r="C110" s="3">
        <v>45953</v>
      </c>
      <c r="D110" s="5" t="s">
        <v>39</v>
      </c>
      <c r="E110" s="5" t="s">
        <v>40</v>
      </c>
      <c r="F110" s="5" t="s">
        <v>34</v>
      </c>
      <c r="G110" s="5">
        <v>5</v>
      </c>
      <c r="H110" s="5">
        <v>5</v>
      </c>
      <c r="I110" s="5">
        <v>1978</v>
      </c>
      <c r="J110" s="13">
        <v>1118800</v>
      </c>
      <c r="K110" s="15">
        <f t="shared" si="1"/>
        <v>565.62184024266935</v>
      </c>
      <c r="L110" s="5" t="s">
        <v>16</v>
      </c>
      <c r="M110" s="5" t="s">
        <v>17</v>
      </c>
      <c r="N110" s="5" t="s">
        <v>30</v>
      </c>
      <c r="O110" s="5" t="s">
        <v>42</v>
      </c>
    </row>
    <row r="111" spans="1:15" s="4" customFormat="1">
      <c r="A111" s="4">
        <v>110</v>
      </c>
      <c r="B111" s="5" t="s">
        <v>497</v>
      </c>
      <c r="C111" s="3">
        <v>45717</v>
      </c>
      <c r="D111" s="5" t="s">
        <v>39</v>
      </c>
      <c r="E111" s="5" t="s">
        <v>61</v>
      </c>
      <c r="F111" s="5" t="s">
        <v>15</v>
      </c>
      <c r="G111" s="5">
        <v>3</v>
      </c>
      <c r="H111" s="5">
        <v>3</v>
      </c>
      <c r="I111" s="5">
        <v>1967</v>
      </c>
      <c r="J111" s="13">
        <v>994000</v>
      </c>
      <c r="K111" s="15">
        <f t="shared" si="1"/>
        <v>505.33807829181495</v>
      </c>
      <c r="L111" s="5" t="s">
        <v>24</v>
      </c>
      <c r="M111" s="5" t="s">
        <v>17</v>
      </c>
      <c r="N111" s="5" t="s">
        <v>41</v>
      </c>
      <c r="O111" s="5" t="s">
        <v>35</v>
      </c>
    </row>
    <row r="112" spans="1:15" s="4" customFormat="1">
      <c r="A112" s="4">
        <v>111</v>
      </c>
      <c r="B112" s="5" t="s">
        <v>137</v>
      </c>
      <c r="C112" s="3">
        <v>45671</v>
      </c>
      <c r="D112" s="5" t="s">
        <v>27</v>
      </c>
      <c r="E112" s="5" t="s">
        <v>56</v>
      </c>
      <c r="F112" s="5" t="s">
        <v>52</v>
      </c>
      <c r="G112" s="5">
        <v>4</v>
      </c>
      <c r="H112" s="5">
        <v>4</v>
      </c>
      <c r="I112" s="5">
        <v>1956</v>
      </c>
      <c r="J112" s="13">
        <v>1499500</v>
      </c>
      <c r="K112" s="15">
        <f t="shared" si="1"/>
        <v>766.61554192229039</v>
      </c>
      <c r="L112" s="5" t="s">
        <v>16</v>
      </c>
      <c r="M112" s="5" t="s">
        <v>29</v>
      </c>
      <c r="N112" s="5" t="s">
        <v>41</v>
      </c>
      <c r="O112" s="5" t="s">
        <v>35</v>
      </c>
    </row>
    <row r="113" spans="1:15" s="4" customFormat="1">
      <c r="A113" s="4">
        <v>112</v>
      </c>
      <c r="B113" s="5" t="s">
        <v>413</v>
      </c>
      <c r="C113" s="3">
        <v>45710</v>
      </c>
      <c r="D113" s="5" t="s">
        <v>21</v>
      </c>
      <c r="E113" s="5" t="s">
        <v>22</v>
      </c>
      <c r="F113" s="5" t="s">
        <v>23</v>
      </c>
      <c r="G113" s="5">
        <v>4</v>
      </c>
      <c r="H113" s="5">
        <v>4</v>
      </c>
      <c r="I113" s="5">
        <v>1953</v>
      </c>
      <c r="J113" s="13">
        <v>1932200</v>
      </c>
      <c r="K113" s="15">
        <f t="shared" si="1"/>
        <v>989.34971838197646</v>
      </c>
      <c r="L113" s="5" t="s">
        <v>53</v>
      </c>
      <c r="M113" s="5" t="s">
        <v>17</v>
      </c>
      <c r="N113" s="5" t="s">
        <v>18</v>
      </c>
      <c r="O113" s="5" t="s">
        <v>19</v>
      </c>
    </row>
    <row r="114" spans="1:15" s="4" customFormat="1">
      <c r="A114" s="4">
        <v>113</v>
      </c>
      <c r="B114" s="5" t="s">
        <v>87</v>
      </c>
      <c r="C114" s="3">
        <v>45724</v>
      </c>
      <c r="D114" s="5" t="s">
        <v>32</v>
      </c>
      <c r="E114" s="5" t="s">
        <v>61</v>
      </c>
      <c r="F114" s="5" t="s">
        <v>15</v>
      </c>
      <c r="G114" s="5">
        <v>4</v>
      </c>
      <c r="H114" s="5">
        <v>4</v>
      </c>
      <c r="I114" s="5">
        <v>1949</v>
      </c>
      <c r="J114" s="13">
        <v>567200</v>
      </c>
      <c r="K114" s="15">
        <f t="shared" si="1"/>
        <v>291.02103642893792</v>
      </c>
      <c r="L114" s="5" t="s">
        <v>24</v>
      </c>
      <c r="M114" s="5" t="s">
        <v>17</v>
      </c>
      <c r="N114" s="5" t="s">
        <v>18</v>
      </c>
      <c r="O114" s="5" t="s">
        <v>42</v>
      </c>
    </row>
    <row r="115" spans="1:15" s="4" customFormat="1">
      <c r="A115" s="4">
        <v>114</v>
      </c>
      <c r="B115" s="5" t="s">
        <v>335</v>
      </c>
      <c r="C115" s="3">
        <v>45929</v>
      </c>
      <c r="D115" s="5" t="s">
        <v>44</v>
      </c>
      <c r="E115" s="5" t="s">
        <v>75</v>
      </c>
      <c r="F115" s="5" t="s">
        <v>23</v>
      </c>
      <c r="G115" s="5">
        <v>4</v>
      </c>
      <c r="H115" s="5">
        <v>3</v>
      </c>
      <c r="I115" s="5">
        <v>1934</v>
      </c>
      <c r="J115" s="13">
        <v>805800</v>
      </c>
      <c r="K115" s="15">
        <f t="shared" si="1"/>
        <v>416.64943123061016</v>
      </c>
      <c r="L115" s="5" t="s">
        <v>24</v>
      </c>
      <c r="M115" s="5" t="s">
        <v>29</v>
      </c>
      <c r="N115" s="5" t="s">
        <v>41</v>
      </c>
      <c r="O115" s="5" t="s">
        <v>42</v>
      </c>
    </row>
    <row r="116" spans="1:15" s="4" customFormat="1">
      <c r="A116" s="4">
        <v>115</v>
      </c>
      <c r="B116" s="5" t="s">
        <v>479</v>
      </c>
      <c r="C116" s="3">
        <v>45951</v>
      </c>
      <c r="D116" s="5" t="s">
        <v>27</v>
      </c>
      <c r="E116" s="5" t="s">
        <v>79</v>
      </c>
      <c r="F116" s="5" t="s">
        <v>23</v>
      </c>
      <c r="G116" s="5">
        <v>4</v>
      </c>
      <c r="H116" s="5">
        <v>3</v>
      </c>
      <c r="I116" s="5">
        <v>1931</v>
      </c>
      <c r="J116" s="13">
        <v>1300100</v>
      </c>
      <c r="K116" s="15">
        <f t="shared" si="1"/>
        <v>673.27809425168311</v>
      </c>
      <c r="L116" s="5" t="s">
        <v>16</v>
      </c>
      <c r="M116" s="5" t="s">
        <v>29</v>
      </c>
      <c r="N116" s="5" t="s">
        <v>18</v>
      </c>
      <c r="O116" s="5" t="s">
        <v>564</v>
      </c>
    </row>
    <row r="117" spans="1:15" s="4" customFormat="1">
      <c r="A117" s="4">
        <v>116</v>
      </c>
      <c r="B117" s="5" t="s">
        <v>132</v>
      </c>
      <c r="C117" s="3">
        <v>45764</v>
      </c>
      <c r="D117" s="5" t="s">
        <v>32</v>
      </c>
      <c r="E117" s="5" t="s">
        <v>112</v>
      </c>
      <c r="F117" s="5" t="s">
        <v>34</v>
      </c>
      <c r="G117" s="5">
        <v>3</v>
      </c>
      <c r="H117" s="5">
        <v>2</v>
      </c>
      <c r="I117" s="5">
        <v>1923</v>
      </c>
      <c r="J117" s="13">
        <v>585900</v>
      </c>
      <c r="K117" s="15">
        <f t="shared" si="1"/>
        <v>304.6801872074883</v>
      </c>
      <c r="L117" s="5" t="s">
        <v>24</v>
      </c>
      <c r="M117" s="5" t="s">
        <v>29</v>
      </c>
      <c r="N117" s="5" t="s">
        <v>30</v>
      </c>
      <c r="O117" s="5" t="s">
        <v>42</v>
      </c>
    </row>
    <row r="118" spans="1:15" s="4" customFormat="1">
      <c r="A118" s="4">
        <v>117</v>
      </c>
      <c r="B118" s="5" t="s">
        <v>526</v>
      </c>
      <c r="C118" s="3">
        <v>45833</v>
      </c>
      <c r="D118" s="5" t="s">
        <v>32</v>
      </c>
      <c r="E118" s="5" t="s">
        <v>77</v>
      </c>
      <c r="F118" s="5" t="s">
        <v>52</v>
      </c>
      <c r="G118" s="5">
        <v>4</v>
      </c>
      <c r="H118" s="5">
        <v>4</v>
      </c>
      <c r="I118" s="5">
        <v>1921</v>
      </c>
      <c r="J118" s="13">
        <v>613100</v>
      </c>
      <c r="K118" s="15">
        <f t="shared" si="1"/>
        <v>319.15668922436231</v>
      </c>
      <c r="L118" s="5" t="s">
        <v>53</v>
      </c>
      <c r="M118" s="5" t="s">
        <v>17</v>
      </c>
      <c r="N118" s="5" t="s">
        <v>30</v>
      </c>
      <c r="O118" s="5" t="s">
        <v>37</v>
      </c>
    </row>
    <row r="119" spans="1:15" s="4" customFormat="1">
      <c r="A119" s="4">
        <v>118</v>
      </c>
      <c r="B119" s="5" t="s">
        <v>352</v>
      </c>
      <c r="C119" s="3">
        <v>45867</v>
      </c>
      <c r="D119" s="5" t="s">
        <v>27</v>
      </c>
      <c r="E119" s="5" t="s">
        <v>69</v>
      </c>
      <c r="F119" s="5" t="s">
        <v>23</v>
      </c>
      <c r="G119" s="5">
        <v>4</v>
      </c>
      <c r="H119" s="5">
        <v>3</v>
      </c>
      <c r="I119" s="5">
        <v>1916</v>
      </c>
      <c r="J119" s="13">
        <v>1277200</v>
      </c>
      <c r="K119" s="15">
        <f t="shared" si="1"/>
        <v>666.59707724425891</v>
      </c>
      <c r="L119" s="5" t="s">
        <v>16</v>
      </c>
      <c r="M119" s="5" t="s">
        <v>29</v>
      </c>
      <c r="N119" s="5" t="s">
        <v>41</v>
      </c>
      <c r="O119" s="5" t="s">
        <v>37</v>
      </c>
    </row>
    <row r="120" spans="1:15" s="4" customFormat="1">
      <c r="A120" s="4">
        <v>119</v>
      </c>
      <c r="B120" s="5" t="s">
        <v>13</v>
      </c>
      <c r="C120" s="3">
        <v>45937</v>
      </c>
      <c r="D120" s="5" t="s">
        <v>14</v>
      </c>
      <c r="E120" s="5" t="s">
        <v>567</v>
      </c>
      <c r="F120" s="5" t="s">
        <v>15</v>
      </c>
      <c r="G120" s="5">
        <v>4</v>
      </c>
      <c r="H120" s="5">
        <v>4</v>
      </c>
      <c r="I120" s="5">
        <v>1906</v>
      </c>
      <c r="J120" s="13">
        <v>951500</v>
      </c>
      <c r="K120" s="15">
        <f t="shared" si="1"/>
        <v>499.21301154249738</v>
      </c>
      <c r="L120" s="5" t="s">
        <v>16</v>
      </c>
      <c r="M120" s="5" t="s">
        <v>17</v>
      </c>
      <c r="N120" s="5" t="s">
        <v>18</v>
      </c>
      <c r="O120" s="5" t="s">
        <v>19</v>
      </c>
    </row>
    <row r="121" spans="1:15" s="4" customFormat="1">
      <c r="A121" s="4">
        <v>120</v>
      </c>
      <c r="B121" s="5" t="s">
        <v>415</v>
      </c>
      <c r="C121" s="3">
        <v>45772</v>
      </c>
      <c r="D121" s="5" t="s">
        <v>48</v>
      </c>
      <c r="E121" s="5" t="s">
        <v>92</v>
      </c>
      <c r="F121" s="5" t="s">
        <v>23</v>
      </c>
      <c r="G121" s="5">
        <v>5</v>
      </c>
      <c r="H121" s="5">
        <v>5</v>
      </c>
      <c r="I121" s="5">
        <v>1899</v>
      </c>
      <c r="J121" s="13">
        <v>1180000</v>
      </c>
      <c r="K121" s="15">
        <f t="shared" si="1"/>
        <v>621.37967351237489</v>
      </c>
      <c r="L121" s="5" t="s">
        <v>24</v>
      </c>
      <c r="M121" s="5" t="s">
        <v>29</v>
      </c>
      <c r="N121" s="5" t="s">
        <v>18</v>
      </c>
      <c r="O121" s="5" t="s">
        <v>42</v>
      </c>
    </row>
    <row r="122" spans="1:15" s="4" customFormat="1">
      <c r="A122" s="4">
        <v>121</v>
      </c>
      <c r="B122" s="5" t="s">
        <v>47</v>
      </c>
      <c r="C122" s="3">
        <v>45948</v>
      </c>
      <c r="D122" s="5" t="s">
        <v>48</v>
      </c>
      <c r="E122" s="5" t="s">
        <v>49</v>
      </c>
      <c r="F122" s="5" t="s">
        <v>34</v>
      </c>
      <c r="G122" s="5">
        <v>3</v>
      </c>
      <c r="H122" s="5">
        <v>3</v>
      </c>
      <c r="I122" s="5">
        <v>1899</v>
      </c>
      <c r="J122" s="13">
        <v>1241300</v>
      </c>
      <c r="K122" s="15">
        <f t="shared" si="1"/>
        <v>653.65982095839911</v>
      </c>
      <c r="L122" s="5" t="s">
        <v>24</v>
      </c>
      <c r="M122" s="5" t="s">
        <v>17</v>
      </c>
      <c r="N122" s="5" t="s">
        <v>18</v>
      </c>
      <c r="O122" s="5" t="s">
        <v>42</v>
      </c>
    </row>
    <row r="123" spans="1:15" s="4" customFormat="1">
      <c r="A123" s="4">
        <v>122</v>
      </c>
      <c r="B123" s="5" t="s">
        <v>405</v>
      </c>
      <c r="C123" s="3">
        <v>45931</v>
      </c>
      <c r="D123" s="5" t="s">
        <v>27</v>
      </c>
      <c r="E123" s="5" t="s">
        <v>79</v>
      </c>
      <c r="F123" s="5" t="s">
        <v>34</v>
      </c>
      <c r="G123" s="5">
        <v>4</v>
      </c>
      <c r="H123" s="5">
        <v>3</v>
      </c>
      <c r="I123" s="5">
        <v>1895</v>
      </c>
      <c r="J123" s="13">
        <v>1396600</v>
      </c>
      <c r="K123" s="15">
        <f t="shared" si="1"/>
        <v>736.99208443271766</v>
      </c>
      <c r="L123" s="5" t="s">
        <v>24</v>
      </c>
      <c r="M123" s="5" t="s">
        <v>17</v>
      </c>
      <c r="N123" s="5" t="s">
        <v>41</v>
      </c>
      <c r="O123" s="5" t="s">
        <v>37</v>
      </c>
    </row>
    <row r="124" spans="1:15" s="4" customFormat="1">
      <c r="A124" s="4">
        <v>123</v>
      </c>
      <c r="B124" s="5" t="s">
        <v>460</v>
      </c>
      <c r="C124" s="3">
        <v>45738</v>
      </c>
      <c r="D124" s="5" t="s">
        <v>27</v>
      </c>
      <c r="E124" s="5" t="s">
        <v>56</v>
      </c>
      <c r="F124" s="5" t="s">
        <v>34</v>
      </c>
      <c r="G124" s="5">
        <v>5</v>
      </c>
      <c r="H124" s="5">
        <v>5</v>
      </c>
      <c r="I124" s="5">
        <v>1885</v>
      </c>
      <c r="J124" s="13">
        <v>1312800</v>
      </c>
      <c r="K124" s="15">
        <f t="shared" si="1"/>
        <v>696.44562334217505</v>
      </c>
      <c r="L124" s="5" t="s">
        <v>24</v>
      </c>
      <c r="M124" s="5" t="s">
        <v>29</v>
      </c>
      <c r="N124" s="5" t="s">
        <v>18</v>
      </c>
      <c r="O124" s="5" t="s">
        <v>42</v>
      </c>
    </row>
    <row r="125" spans="1:15" s="4" customFormat="1">
      <c r="A125" s="4">
        <v>124</v>
      </c>
      <c r="B125" s="5" t="s">
        <v>207</v>
      </c>
      <c r="C125" s="3">
        <v>45855</v>
      </c>
      <c r="D125" s="5" t="s">
        <v>21</v>
      </c>
      <c r="E125" s="5" t="s">
        <v>109</v>
      </c>
      <c r="F125" s="5" t="s">
        <v>15</v>
      </c>
      <c r="G125" s="5">
        <v>3</v>
      </c>
      <c r="H125" s="5">
        <v>2</v>
      </c>
      <c r="I125" s="5">
        <v>1872</v>
      </c>
      <c r="J125" s="13">
        <v>1744600</v>
      </c>
      <c r="K125" s="15">
        <f t="shared" si="1"/>
        <v>931.94444444444446</v>
      </c>
      <c r="L125" s="5" t="s">
        <v>16</v>
      </c>
      <c r="M125" s="5" t="s">
        <v>17</v>
      </c>
      <c r="N125" s="5" t="s">
        <v>18</v>
      </c>
      <c r="O125" s="5" t="s">
        <v>19</v>
      </c>
    </row>
    <row r="126" spans="1:15" s="4" customFormat="1">
      <c r="A126" s="4">
        <v>125</v>
      </c>
      <c r="B126" s="5" t="s">
        <v>163</v>
      </c>
      <c r="C126" s="3">
        <v>45717</v>
      </c>
      <c r="D126" s="5" t="s">
        <v>14</v>
      </c>
      <c r="E126" s="5" t="s">
        <v>567</v>
      </c>
      <c r="F126" s="5" t="s">
        <v>52</v>
      </c>
      <c r="G126" s="5">
        <v>4</v>
      </c>
      <c r="H126" s="5">
        <v>2</v>
      </c>
      <c r="I126" s="5">
        <v>1839</v>
      </c>
      <c r="J126" s="13">
        <v>1120700</v>
      </c>
      <c r="K126" s="15">
        <f t="shared" si="1"/>
        <v>609.40728656878741</v>
      </c>
      <c r="L126" s="5" t="s">
        <v>16</v>
      </c>
      <c r="M126" s="5" t="s">
        <v>29</v>
      </c>
      <c r="N126" s="5" t="s">
        <v>18</v>
      </c>
      <c r="O126" s="5" t="s">
        <v>37</v>
      </c>
    </row>
    <row r="127" spans="1:15" s="4" customFormat="1">
      <c r="A127" s="4">
        <v>126</v>
      </c>
      <c r="B127" s="5" t="s">
        <v>316</v>
      </c>
      <c r="C127" s="3">
        <v>45849</v>
      </c>
      <c r="D127" s="5" t="s">
        <v>48</v>
      </c>
      <c r="E127" s="5" t="s">
        <v>58</v>
      </c>
      <c r="F127" s="5" t="s">
        <v>15</v>
      </c>
      <c r="G127" s="5">
        <v>4</v>
      </c>
      <c r="H127" s="5">
        <v>4</v>
      </c>
      <c r="I127" s="5">
        <v>1802</v>
      </c>
      <c r="J127" s="13">
        <v>1067700</v>
      </c>
      <c r="K127" s="15">
        <f t="shared" si="1"/>
        <v>592.50832408435076</v>
      </c>
      <c r="L127" s="5" t="s">
        <v>24</v>
      </c>
      <c r="M127" s="5" t="s">
        <v>29</v>
      </c>
      <c r="N127" s="5" t="s">
        <v>41</v>
      </c>
      <c r="O127" s="5" t="s">
        <v>25</v>
      </c>
    </row>
    <row r="128" spans="1:15" s="4" customFormat="1">
      <c r="A128" s="4">
        <v>127</v>
      </c>
      <c r="B128" s="5" t="s">
        <v>550</v>
      </c>
      <c r="C128" s="3">
        <v>46011</v>
      </c>
      <c r="D128" s="5" t="s">
        <v>21</v>
      </c>
      <c r="E128" s="5" t="s">
        <v>109</v>
      </c>
      <c r="F128" s="5" t="s">
        <v>23</v>
      </c>
      <c r="G128" s="5">
        <v>4</v>
      </c>
      <c r="H128" s="5">
        <v>4</v>
      </c>
      <c r="I128" s="5">
        <v>1799</v>
      </c>
      <c r="J128" s="13">
        <v>1710400</v>
      </c>
      <c r="K128" s="15">
        <f t="shared" si="1"/>
        <v>950.75041689827685</v>
      </c>
      <c r="L128" s="5" t="s">
        <v>24</v>
      </c>
      <c r="M128" s="5" t="s">
        <v>29</v>
      </c>
      <c r="N128" s="5" t="s">
        <v>41</v>
      </c>
      <c r="O128" s="5" t="s">
        <v>42</v>
      </c>
    </row>
    <row r="129" spans="1:15" s="4" customFormat="1">
      <c r="A129" s="4">
        <v>128</v>
      </c>
      <c r="B129" s="5" t="s">
        <v>336</v>
      </c>
      <c r="C129" s="3">
        <v>46009</v>
      </c>
      <c r="D129" s="5" t="s">
        <v>44</v>
      </c>
      <c r="E129" s="5" t="s">
        <v>75</v>
      </c>
      <c r="F129" s="5" t="s">
        <v>34</v>
      </c>
      <c r="G129" s="5">
        <v>4</v>
      </c>
      <c r="H129" s="5">
        <v>4</v>
      </c>
      <c r="I129" s="5">
        <v>1764</v>
      </c>
      <c r="J129" s="13">
        <v>822500</v>
      </c>
      <c r="K129" s="15">
        <f t="shared" si="1"/>
        <v>466.26984126984127</v>
      </c>
      <c r="L129" s="5" t="s">
        <v>53</v>
      </c>
      <c r="M129" s="5" t="s">
        <v>29</v>
      </c>
      <c r="N129" s="5" t="s">
        <v>18</v>
      </c>
      <c r="O129" s="5" t="s">
        <v>19</v>
      </c>
    </row>
    <row r="130" spans="1:15" s="4" customFormat="1">
      <c r="A130" s="4">
        <v>129</v>
      </c>
      <c r="B130" s="5" t="s">
        <v>249</v>
      </c>
      <c r="C130" s="3">
        <v>46011</v>
      </c>
      <c r="D130" s="5" t="s">
        <v>32</v>
      </c>
      <c r="E130" s="5" t="s">
        <v>77</v>
      </c>
      <c r="F130" s="5" t="s">
        <v>34</v>
      </c>
      <c r="G130" s="5">
        <v>5</v>
      </c>
      <c r="H130" s="5">
        <v>5</v>
      </c>
      <c r="I130" s="5">
        <v>1763</v>
      </c>
      <c r="J130" s="13">
        <v>634000</v>
      </c>
      <c r="K130" s="15">
        <f t="shared" ref="K130:K193" si="2">J130/I130</f>
        <v>359.61429381735678</v>
      </c>
      <c r="L130" s="5" t="s">
        <v>24</v>
      </c>
      <c r="M130" s="5" t="s">
        <v>17</v>
      </c>
      <c r="N130" s="5" t="s">
        <v>30</v>
      </c>
      <c r="O130" s="5" t="s">
        <v>25</v>
      </c>
    </row>
    <row r="131" spans="1:15" s="4" customFormat="1">
      <c r="A131" s="4">
        <v>130</v>
      </c>
      <c r="B131" s="5" t="s">
        <v>503</v>
      </c>
      <c r="C131" s="3">
        <v>45819</v>
      </c>
      <c r="D131" s="5" t="s">
        <v>39</v>
      </c>
      <c r="E131" s="5" t="s">
        <v>61</v>
      </c>
      <c r="F131" s="5" t="s">
        <v>15</v>
      </c>
      <c r="G131" s="5">
        <v>5</v>
      </c>
      <c r="H131" s="5">
        <v>5</v>
      </c>
      <c r="I131" s="5">
        <v>1762</v>
      </c>
      <c r="J131" s="13">
        <v>898100</v>
      </c>
      <c r="K131" s="15">
        <f t="shared" si="2"/>
        <v>509.70488081725313</v>
      </c>
      <c r="L131" s="5" t="s">
        <v>53</v>
      </c>
      <c r="M131" s="5" t="s">
        <v>17</v>
      </c>
      <c r="N131" s="5" t="s">
        <v>30</v>
      </c>
      <c r="O131" s="5" t="s">
        <v>46</v>
      </c>
    </row>
    <row r="132" spans="1:15" s="4" customFormat="1">
      <c r="A132" s="4">
        <v>131</v>
      </c>
      <c r="B132" s="5" t="s">
        <v>544</v>
      </c>
      <c r="C132" s="3">
        <v>45939</v>
      </c>
      <c r="D132" s="5" t="s">
        <v>48</v>
      </c>
      <c r="E132" s="5" t="s">
        <v>58</v>
      </c>
      <c r="F132" s="5" t="s">
        <v>52</v>
      </c>
      <c r="G132" s="5">
        <v>4</v>
      </c>
      <c r="H132" s="5">
        <v>3</v>
      </c>
      <c r="I132" s="5">
        <v>1756</v>
      </c>
      <c r="J132" s="13">
        <v>1311100</v>
      </c>
      <c r="K132" s="15">
        <f t="shared" si="2"/>
        <v>746.64009111617315</v>
      </c>
      <c r="L132" s="5" t="s">
        <v>53</v>
      </c>
      <c r="M132" s="5" t="s">
        <v>17</v>
      </c>
      <c r="N132" s="5" t="s">
        <v>41</v>
      </c>
      <c r="O132" s="5" t="s">
        <v>46</v>
      </c>
    </row>
    <row r="133" spans="1:15" s="4" customFormat="1">
      <c r="A133" s="4">
        <v>132</v>
      </c>
      <c r="B133" s="5" t="s">
        <v>547</v>
      </c>
      <c r="C133" s="3">
        <v>45812</v>
      </c>
      <c r="D133" s="5" t="s">
        <v>21</v>
      </c>
      <c r="E133" s="5" t="s">
        <v>84</v>
      </c>
      <c r="F133" s="5" t="s">
        <v>34</v>
      </c>
      <c r="G133" s="5">
        <v>3</v>
      </c>
      <c r="H133" s="5">
        <v>3</v>
      </c>
      <c r="I133" s="5">
        <v>1753</v>
      </c>
      <c r="J133" s="13">
        <v>1902000</v>
      </c>
      <c r="K133" s="15">
        <f t="shared" si="2"/>
        <v>1084.99714774672</v>
      </c>
      <c r="L133" s="5" t="s">
        <v>16</v>
      </c>
      <c r="M133" s="5" t="s">
        <v>17</v>
      </c>
      <c r="N133" s="5" t="s">
        <v>18</v>
      </c>
      <c r="O133" s="5" t="s">
        <v>564</v>
      </c>
    </row>
    <row r="134" spans="1:15" s="4" customFormat="1">
      <c r="A134" s="4">
        <v>133</v>
      </c>
      <c r="B134" s="5" t="s">
        <v>547</v>
      </c>
      <c r="C134" s="3">
        <v>45812</v>
      </c>
      <c r="D134" s="5" t="s">
        <v>21</v>
      </c>
      <c r="E134" s="5" t="s">
        <v>84</v>
      </c>
      <c r="F134" s="5" t="s">
        <v>34</v>
      </c>
      <c r="G134" s="5">
        <v>3</v>
      </c>
      <c r="H134" s="5">
        <v>3</v>
      </c>
      <c r="I134" s="5">
        <v>1753</v>
      </c>
      <c r="J134" s="13">
        <v>1902000</v>
      </c>
      <c r="K134" s="15">
        <f t="shared" si="2"/>
        <v>1084.99714774672</v>
      </c>
      <c r="L134" s="5" t="s">
        <v>16</v>
      </c>
      <c r="M134" s="5" t="s">
        <v>17</v>
      </c>
      <c r="N134" s="5" t="s">
        <v>18</v>
      </c>
      <c r="O134" s="5" t="s">
        <v>564</v>
      </c>
    </row>
    <row r="135" spans="1:15" s="4" customFormat="1">
      <c r="A135" s="4">
        <v>134</v>
      </c>
      <c r="B135" s="5" t="s">
        <v>480</v>
      </c>
      <c r="C135" s="3">
        <v>45887</v>
      </c>
      <c r="D135" s="5" t="s">
        <v>44</v>
      </c>
      <c r="E135" s="5" t="s">
        <v>75</v>
      </c>
      <c r="F135" s="5" t="s">
        <v>15</v>
      </c>
      <c r="G135" s="5">
        <v>4</v>
      </c>
      <c r="H135" s="5">
        <v>3</v>
      </c>
      <c r="I135" s="5">
        <v>1752</v>
      </c>
      <c r="J135" s="13">
        <v>664600</v>
      </c>
      <c r="K135" s="15">
        <f t="shared" si="2"/>
        <v>379.33789954337902</v>
      </c>
      <c r="L135" s="5" t="s">
        <v>24</v>
      </c>
      <c r="M135" s="5" t="s">
        <v>17</v>
      </c>
      <c r="N135" s="5" t="s">
        <v>30</v>
      </c>
      <c r="O135" s="5" t="s">
        <v>46</v>
      </c>
    </row>
    <row r="136" spans="1:15" s="4" customFormat="1">
      <c r="A136" s="4">
        <v>135</v>
      </c>
      <c r="B136" s="5" t="s">
        <v>407</v>
      </c>
      <c r="C136" s="3">
        <v>45772</v>
      </c>
      <c r="D136" s="5" t="s">
        <v>48</v>
      </c>
      <c r="E136" s="5" t="s">
        <v>92</v>
      </c>
      <c r="F136" s="5" t="s">
        <v>34</v>
      </c>
      <c r="G136" s="5">
        <v>4</v>
      </c>
      <c r="H136" s="5">
        <v>4</v>
      </c>
      <c r="I136" s="5">
        <v>1748</v>
      </c>
      <c r="J136" s="13">
        <v>1196200</v>
      </c>
      <c r="K136" s="15">
        <f t="shared" si="2"/>
        <v>684.32494279176206</v>
      </c>
      <c r="L136" s="5" t="s">
        <v>24</v>
      </c>
      <c r="M136" s="5" t="s">
        <v>17</v>
      </c>
      <c r="N136" s="5" t="s">
        <v>30</v>
      </c>
      <c r="O136" s="5" t="s">
        <v>37</v>
      </c>
    </row>
    <row r="137" spans="1:15" s="4" customFormat="1">
      <c r="A137" s="4">
        <v>136</v>
      </c>
      <c r="B137" s="5" t="s">
        <v>96</v>
      </c>
      <c r="C137" s="3">
        <v>45680</v>
      </c>
      <c r="D137" s="5" t="s">
        <v>32</v>
      </c>
      <c r="E137" s="5" t="s">
        <v>33</v>
      </c>
      <c r="F137" s="5" t="s">
        <v>52</v>
      </c>
      <c r="G137" s="5">
        <v>3</v>
      </c>
      <c r="H137" s="5">
        <v>2</v>
      </c>
      <c r="I137" s="5">
        <v>1739</v>
      </c>
      <c r="J137" s="13">
        <v>510200</v>
      </c>
      <c r="K137" s="15">
        <f t="shared" si="2"/>
        <v>293.38700402530191</v>
      </c>
      <c r="L137" s="5" t="s">
        <v>24</v>
      </c>
      <c r="M137" s="5" t="s">
        <v>17</v>
      </c>
      <c r="N137" s="5" t="s">
        <v>18</v>
      </c>
      <c r="O137" s="5" t="s">
        <v>35</v>
      </c>
    </row>
    <row r="138" spans="1:15" s="4" customFormat="1">
      <c r="A138" s="4">
        <v>137</v>
      </c>
      <c r="B138" s="5" t="s">
        <v>535</v>
      </c>
      <c r="C138" s="3">
        <v>45897</v>
      </c>
      <c r="D138" s="5" t="s">
        <v>39</v>
      </c>
      <c r="E138" s="5" t="s">
        <v>72</v>
      </c>
      <c r="F138" s="5" t="s">
        <v>23</v>
      </c>
      <c r="G138" s="5">
        <v>3</v>
      </c>
      <c r="H138" s="5">
        <v>3</v>
      </c>
      <c r="I138" s="5">
        <v>1739</v>
      </c>
      <c r="J138" s="13">
        <v>944800</v>
      </c>
      <c r="K138" s="15">
        <f t="shared" si="2"/>
        <v>543.30074755606665</v>
      </c>
      <c r="L138" s="5" t="s">
        <v>53</v>
      </c>
      <c r="M138" s="5" t="s">
        <v>29</v>
      </c>
      <c r="N138" s="5" t="s">
        <v>18</v>
      </c>
      <c r="O138" s="5" t="s">
        <v>35</v>
      </c>
    </row>
    <row r="139" spans="1:15" s="4" customFormat="1">
      <c r="A139" s="4">
        <v>138</v>
      </c>
      <c r="B139" s="5" t="s">
        <v>470</v>
      </c>
      <c r="C139" s="3">
        <v>45806</v>
      </c>
      <c r="D139" s="5" t="s">
        <v>21</v>
      </c>
      <c r="E139" s="5" t="s">
        <v>67</v>
      </c>
      <c r="F139" s="5" t="s">
        <v>52</v>
      </c>
      <c r="G139" s="5">
        <v>4</v>
      </c>
      <c r="H139" s="5">
        <v>4</v>
      </c>
      <c r="I139" s="5">
        <v>1738</v>
      </c>
      <c r="J139" s="13">
        <v>1887000</v>
      </c>
      <c r="K139" s="15">
        <f t="shared" si="2"/>
        <v>1085.7307249712312</v>
      </c>
      <c r="L139" s="5" t="s">
        <v>16</v>
      </c>
      <c r="M139" s="5" t="s">
        <v>17</v>
      </c>
      <c r="N139" s="5" t="s">
        <v>41</v>
      </c>
      <c r="O139" s="5" t="s">
        <v>35</v>
      </c>
    </row>
    <row r="140" spans="1:15" s="4" customFormat="1">
      <c r="A140" s="4">
        <v>139</v>
      </c>
      <c r="B140" s="5" t="s">
        <v>213</v>
      </c>
      <c r="C140" s="3">
        <v>45692</v>
      </c>
      <c r="D140" s="5" t="s">
        <v>39</v>
      </c>
      <c r="E140" s="5" t="s">
        <v>40</v>
      </c>
      <c r="F140" s="5" t="s">
        <v>34</v>
      </c>
      <c r="G140" s="5">
        <v>4</v>
      </c>
      <c r="H140" s="5">
        <v>4</v>
      </c>
      <c r="I140" s="5">
        <v>1735</v>
      </c>
      <c r="J140" s="13">
        <v>986600</v>
      </c>
      <c r="K140" s="15">
        <f t="shared" si="2"/>
        <v>568.64553314121042</v>
      </c>
      <c r="L140" s="5" t="s">
        <v>53</v>
      </c>
      <c r="M140" s="5" t="s">
        <v>29</v>
      </c>
      <c r="N140" s="5" t="s">
        <v>41</v>
      </c>
      <c r="O140" s="5" t="s">
        <v>42</v>
      </c>
    </row>
    <row r="141" spans="1:15" s="4" customFormat="1">
      <c r="A141" s="4">
        <v>140</v>
      </c>
      <c r="B141" s="5" t="s">
        <v>74</v>
      </c>
      <c r="C141" s="3">
        <v>46014</v>
      </c>
      <c r="D141" s="5" t="s">
        <v>44</v>
      </c>
      <c r="E141" s="5" t="s">
        <v>75</v>
      </c>
      <c r="F141" s="5" t="s">
        <v>15</v>
      </c>
      <c r="G141" s="5">
        <v>3</v>
      </c>
      <c r="H141" s="5">
        <v>3</v>
      </c>
      <c r="I141" s="5">
        <v>1731</v>
      </c>
      <c r="J141" s="13">
        <v>695800</v>
      </c>
      <c r="K141" s="15">
        <f t="shared" si="2"/>
        <v>401.9641825534373</v>
      </c>
      <c r="L141" s="5" t="s">
        <v>24</v>
      </c>
      <c r="M141" s="5" t="s">
        <v>17</v>
      </c>
      <c r="N141" s="5" t="s">
        <v>18</v>
      </c>
      <c r="O141" s="5" t="s">
        <v>46</v>
      </c>
    </row>
    <row r="142" spans="1:15" s="4" customFormat="1">
      <c r="A142" s="4">
        <v>141</v>
      </c>
      <c r="B142" s="5" t="s">
        <v>194</v>
      </c>
      <c r="C142" s="3">
        <v>45950</v>
      </c>
      <c r="D142" s="5" t="s">
        <v>27</v>
      </c>
      <c r="E142" s="5" t="s">
        <v>69</v>
      </c>
      <c r="F142" s="5" t="s">
        <v>52</v>
      </c>
      <c r="G142" s="5">
        <v>3</v>
      </c>
      <c r="H142" s="5">
        <v>2</v>
      </c>
      <c r="I142" s="5">
        <v>1731</v>
      </c>
      <c r="J142" s="13">
        <v>1133700</v>
      </c>
      <c r="K142" s="15">
        <f t="shared" si="2"/>
        <v>654.93934142114381</v>
      </c>
      <c r="L142" s="5" t="s">
        <v>24</v>
      </c>
      <c r="M142" s="5" t="s">
        <v>29</v>
      </c>
      <c r="N142" s="5" t="s">
        <v>30</v>
      </c>
      <c r="O142" s="5" t="s">
        <v>35</v>
      </c>
    </row>
    <row r="143" spans="1:15" s="4" customFormat="1">
      <c r="A143" s="4">
        <v>142</v>
      </c>
      <c r="B143" s="5" t="s">
        <v>268</v>
      </c>
      <c r="C143" s="3">
        <v>46007</v>
      </c>
      <c r="D143" s="5" t="s">
        <v>14</v>
      </c>
      <c r="E143" s="5" t="s">
        <v>129</v>
      </c>
      <c r="F143" s="5" t="s">
        <v>34</v>
      </c>
      <c r="G143" s="5">
        <v>3</v>
      </c>
      <c r="H143" s="5">
        <v>3</v>
      </c>
      <c r="I143" s="5">
        <v>1711</v>
      </c>
      <c r="J143" s="13">
        <v>1034400</v>
      </c>
      <c r="K143" s="15">
        <f t="shared" si="2"/>
        <v>604.55873758036239</v>
      </c>
      <c r="L143" s="5" t="s">
        <v>24</v>
      </c>
      <c r="M143" s="5" t="s">
        <v>29</v>
      </c>
      <c r="N143" s="5" t="s">
        <v>41</v>
      </c>
      <c r="O143" s="5" t="s">
        <v>37</v>
      </c>
    </row>
    <row r="144" spans="1:15" s="4" customFormat="1">
      <c r="A144" s="4">
        <v>143</v>
      </c>
      <c r="B144" s="5" t="s">
        <v>440</v>
      </c>
      <c r="C144" s="3">
        <v>45833</v>
      </c>
      <c r="D144" s="5" t="s">
        <v>27</v>
      </c>
      <c r="E144" s="5" t="s">
        <v>28</v>
      </c>
      <c r="F144" s="5" t="s">
        <v>52</v>
      </c>
      <c r="G144" s="5">
        <v>3</v>
      </c>
      <c r="H144" s="5">
        <v>2</v>
      </c>
      <c r="I144" s="5">
        <v>1705</v>
      </c>
      <c r="J144" s="13">
        <v>1195400</v>
      </c>
      <c r="K144" s="15">
        <f t="shared" si="2"/>
        <v>701.11436950146629</v>
      </c>
      <c r="L144" s="5" t="s">
        <v>53</v>
      </c>
      <c r="M144" s="5" t="s">
        <v>17</v>
      </c>
      <c r="N144" s="5" t="s">
        <v>18</v>
      </c>
      <c r="O144" s="5" t="s">
        <v>46</v>
      </c>
    </row>
    <row r="145" spans="1:15" s="4" customFormat="1">
      <c r="A145" s="4">
        <v>144</v>
      </c>
      <c r="B145" s="5" t="s">
        <v>418</v>
      </c>
      <c r="C145" s="3">
        <v>45997</v>
      </c>
      <c r="D145" s="5" t="s">
        <v>39</v>
      </c>
      <c r="E145" s="5" t="s">
        <v>72</v>
      </c>
      <c r="F145" s="5" t="s">
        <v>23</v>
      </c>
      <c r="G145" s="5">
        <v>4</v>
      </c>
      <c r="H145" s="5">
        <v>3</v>
      </c>
      <c r="I145" s="5">
        <v>1702</v>
      </c>
      <c r="J145" s="13">
        <v>1011900</v>
      </c>
      <c r="K145" s="15">
        <f t="shared" si="2"/>
        <v>594.53584018801405</v>
      </c>
      <c r="L145" s="5" t="s">
        <v>24</v>
      </c>
      <c r="M145" s="5" t="s">
        <v>17</v>
      </c>
      <c r="N145" s="5" t="s">
        <v>41</v>
      </c>
      <c r="O145" s="5" t="s">
        <v>35</v>
      </c>
    </row>
    <row r="146" spans="1:15" s="4" customFormat="1">
      <c r="A146" s="4">
        <v>145</v>
      </c>
      <c r="B146" s="5" t="s">
        <v>288</v>
      </c>
      <c r="C146" s="3">
        <v>45990</v>
      </c>
      <c r="D146" s="5" t="s">
        <v>39</v>
      </c>
      <c r="E146" s="5" t="s">
        <v>51</v>
      </c>
      <c r="F146" s="5" t="s">
        <v>23</v>
      </c>
      <c r="G146" s="5">
        <v>4</v>
      </c>
      <c r="H146" s="5">
        <v>4</v>
      </c>
      <c r="I146" s="5">
        <v>1701</v>
      </c>
      <c r="J146" s="13">
        <v>861400</v>
      </c>
      <c r="K146" s="15">
        <f t="shared" si="2"/>
        <v>506.40799529688417</v>
      </c>
      <c r="L146" s="5" t="s">
        <v>16</v>
      </c>
      <c r="M146" s="5" t="s">
        <v>29</v>
      </c>
      <c r="N146" s="5" t="s">
        <v>30</v>
      </c>
      <c r="O146" s="5" t="s">
        <v>25</v>
      </c>
    </row>
    <row r="147" spans="1:15" s="4" customFormat="1">
      <c r="A147" s="4">
        <v>146</v>
      </c>
      <c r="B147" s="5" t="s">
        <v>447</v>
      </c>
      <c r="C147" s="3">
        <v>45982</v>
      </c>
      <c r="D147" s="5" t="s">
        <v>21</v>
      </c>
      <c r="E147" s="5" t="s">
        <v>67</v>
      </c>
      <c r="F147" s="5" t="s">
        <v>23</v>
      </c>
      <c r="G147" s="5">
        <v>3</v>
      </c>
      <c r="H147" s="5">
        <v>3</v>
      </c>
      <c r="I147" s="5">
        <v>1699</v>
      </c>
      <c r="J147" s="13">
        <v>1924600</v>
      </c>
      <c r="K147" s="15">
        <f t="shared" si="2"/>
        <v>1132.7839905826957</v>
      </c>
      <c r="L147" s="5" t="s">
        <v>24</v>
      </c>
      <c r="M147" s="5" t="s">
        <v>17</v>
      </c>
      <c r="N147" s="5" t="s">
        <v>41</v>
      </c>
      <c r="O147" s="5" t="s">
        <v>35</v>
      </c>
    </row>
    <row r="148" spans="1:15" s="4" customFormat="1">
      <c r="A148" s="4">
        <v>147</v>
      </c>
      <c r="B148" s="5" t="s">
        <v>97</v>
      </c>
      <c r="C148" s="3">
        <v>45827</v>
      </c>
      <c r="D148" s="5" t="s">
        <v>48</v>
      </c>
      <c r="E148" s="5" t="s">
        <v>92</v>
      </c>
      <c r="F148" s="5" t="s">
        <v>34</v>
      </c>
      <c r="G148" s="5">
        <v>3</v>
      </c>
      <c r="H148" s="5">
        <v>3</v>
      </c>
      <c r="I148" s="5">
        <v>1696</v>
      </c>
      <c r="J148" s="13">
        <v>1402800</v>
      </c>
      <c r="K148" s="15">
        <f t="shared" si="2"/>
        <v>827.12264150943395</v>
      </c>
      <c r="L148" s="5" t="s">
        <v>24</v>
      </c>
      <c r="M148" s="5" t="s">
        <v>17</v>
      </c>
      <c r="N148" s="5" t="s">
        <v>41</v>
      </c>
      <c r="O148" s="5" t="s">
        <v>19</v>
      </c>
    </row>
    <row r="149" spans="1:15" s="4" customFormat="1">
      <c r="A149" s="4">
        <v>148</v>
      </c>
      <c r="B149" s="5" t="s">
        <v>385</v>
      </c>
      <c r="C149" s="3">
        <v>45795</v>
      </c>
      <c r="D149" s="5" t="s">
        <v>21</v>
      </c>
      <c r="E149" s="5" t="s">
        <v>67</v>
      </c>
      <c r="F149" s="5" t="s">
        <v>52</v>
      </c>
      <c r="G149" s="5">
        <v>3</v>
      </c>
      <c r="H149" s="5">
        <v>3</v>
      </c>
      <c r="I149" s="5">
        <v>1696</v>
      </c>
      <c r="J149" s="13">
        <v>1592100</v>
      </c>
      <c r="K149" s="15">
        <f t="shared" si="2"/>
        <v>938.73820754716985</v>
      </c>
      <c r="L149" s="5" t="s">
        <v>24</v>
      </c>
      <c r="M149" s="5" t="s">
        <v>29</v>
      </c>
      <c r="N149" s="5" t="s">
        <v>18</v>
      </c>
      <c r="O149" s="5" t="s">
        <v>42</v>
      </c>
    </row>
    <row r="150" spans="1:15" s="4" customFormat="1">
      <c r="A150" s="4">
        <v>149</v>
      </c>
      <c r="B150" s="5" t="s">
        <v>203</v>
      </c>
      <c r="C150" s="3">
        <v>45887</v>
      </c>
      <c r="D150" s="5" t="s">
        <v>32</v>
      </c>
      <c r="E150" s="5" t="s">
        <v>77</v>
      </c>
      <c r="F150" s="5" t="s">
        <v>52</v>
      </c>
      <c r="G150" s="5">
        <v>3</v>
      </c>
      <c r="H150" s="5">
        <v>3</v>
      </c>
      <c r="I150" s="5">
        <v>1688</v>
      </c>
      <c r="J150" s="13">
        <v>575900</v>
      </c>
      <c r="K150" s="15">
        <f t="shared" si="2"/>
        <v>341.17298578199052</v>
      </c>
      <c r="L150" s="5" t="s">
        <v>16</v>
      </c>
      <c r="M150" s="5" t="s">
        <v>17</v>
      </c>
      <c r="N150" s="5" t="s">
        <v>30</v>
      </c>
      <c r="O150" s="5" t="s">
        <v>25</v>
      </c>
    </row>
    <row r="151" spans="1:15" s="4" customFormat="1">
      <c r="A151" s="4">
        <v>150</v>
      </c>
      <c r="B151" s="5" t="s">
        <v>552</v>
      </c>
      <c r="C151" s="3">
        <v>45934</v>
      </c>
      <c r="D151" s="5" t="s">
        <v>48</v>
      </c>
      <c r="E151" s="5" t="s">
        <v>92</v>
      </c>
      <c r="F151" s="5" t="s">
        <v>15</v>
      </c>
      <c r="G151" s="5">
        <v>4</v>
      </c>
      <c r="H151" s="5">
        <v>3</v>
      </c>
      <c r="I151" s="5">
        <v>1684</v>
      </c>
      <c r="J151" s="13">
        <v>975400</v>
      </c>
      <c r="K151" s="15">
        <f t="shared" si="2"/>
        <v>579.21615201900238</v>
      </c>
      <c r="L151" s="5" t="s">
        <v>24</v>
      </c>
      <c r="M151" s="5" t="s">
        <v>29</v>
      </c>
      <c r="N151" s="5" t="s">
        <v>30</v>
      </c>
      <c r="O151" s="5" t="s">
        <v>35</v>
      </c>
    </row>
    <row r="152" spans="1:15" s="4" customFormat="1">
      <c r="A152" s="4">
        <v>151</v>
      </c>
      <c r="B152" s="5" t="s">
        <v>439</v>
      </c>
      <c r="C152" s="3">
        <v>45723</v>
      </c>
      <c r="D152" s="5" t="s">
        <v>48</v>
      </c>
      <c r="E152" s="5" t="s">
        <v>61</v>
      </c>
      <c r="F152" s="5" t="s">
        <v>23</v>
      </c>
      <c r="G152" s="5">
        <v>4</v>
      </c>
      <c r="H152" s="5">
        <v>3</v>
      </c>
      <c r="I152" s="5">
        <v>1684</v>
      </c>
      <c r="J152" s="13">
        <v>1095700</v>
      </c>
      <c r="K152" s="15">
        <f t="shared" si="2"/>
        <v>650.65320665083141</v>
      </c>
      <c r="L152" s="5" t="s">
        <v>16</v>
      </c>
      <c r="M152" s="5" t="s">
        <v>17</v>
      </c>
      <c r="N152" s="5" t="s">
        <v>41</v>
      </c>
      <c r="O152" s="5" t="s">
        <v>35</v>
      </c>
    </row>
    <row r="153" spans="1:15" s="4" customFormat="1">
      <c r="A153" s="4">
        <v>152</v>
      </c>
      <c r="B153" s="5" t="s">
        <v>99</v>
      </c>
      <c r="C153" s="3">
        <v>45765</v>
      </c>
      <c r="D153" s="5" t="s">
        <v>44</v>
      </c>
      <c r="E153" s="5" t="s">
        <v>100</v>
      </c>
      <c r="F153" s="5" t="s">
        <v>52</v>
      </c>
      <c r="G153" s="5">
        <v>3</v>
      </c>
      <c r="H153" s="5">
        <v>3</v>
      </c>
      <c r="I153" s="5">
        <v>1683</v>
      </c>
      <c r="J153" s="13">
        <v>714000</v>
      </c>
      <c r="K153" s="15">
        <f t="shared" si="2"/>
        <v>424.24242424242425</v>
      </c>
      <c r="L153" s="5" t="s">
        <v>53</v>
      </c>
      <c r="M153" s="5" t="s">
        <v>17</v>
      </c>
      <c r="N153" s="5" t="s">
        <v>30</v>
      </c>
      <c r="O153" s="5" t="s">
        <v>25</v>
      </c>
    </row>
    <row r="154" spans="1:15" s="4" customFormat="1">
      <c r="A154" s="4">
        <v>153</v>
      </c>
      <c r="B154" s="5" t="s">
        <v>255</v>
      </c>
      <c r="C154" s="3">
        <v>45676</v>
      </c>
      <c r="D154" s="5" t="s">
        <v>14</v>
      </c>
      <c r="E154" s="5" t="s">
        <v>567</v>
      </c>
      <c r="F154" s="5" t="s">
        <v>23</v>
      </c>
      <c r="G154" s="5">
        <v>3</v>
      </c>
      <c r="H154" s="5">
        <v>3</v>
      </c>
      <c r="I154" s="5">
        <v>1665</v>
      </c>
      <c r="J154" s="13">
        <v>1119700</v>
      </c>
      <c r="K154" s="15">
        <f t="shared" si="2"/>
        <v>672.49249249249249</v>
      </c>
      <c r="L154" s="5" t="s">
        <v>53</v>
      </c>
      <c r="M154" s="5" t="s">
        <v>17</v>
      </c>
      <c r="N154" s="5" t="s">
        <v>18</v>
      </c>
      <c r="O154" s="5" t="s">
        <v>42</v>
      </c>
    </row>
    <row r="155" spans="1:15" s="4" customFormat="1">
      <c r="A155" s="4">
        <v>154</v>
      </c>
      <c r="B155" s="5" t="s">
        <v>98</v>
      </c>
      <c r="C155" s="3">
        <v>45756</v>
      </c>
      <c r="D155" s="5" t="s">
        <v>14</v>
      </c>
      <c r="E155" s="5" t="s">
        <v>82</v>
      </c>
      <c r="F155" s="5" t="s">
        <v>34</v>
      </c>
      <c r="G155" s="5">
        <v>4</v>
      </c>
      <c r="H155" s="5">
        <v>4</v>
      </c>
      <c r="I155" s="5">
        <v>1656</v>
      </c>
      <c r="J155" s="13">
        <v>1050400</v>
      </c>
      <c r="K155" s="15">
        <f t="shared" si="2"/>
        <v>634.29951690821258</v>
      </c>
      <c r="L155" s="5" t="s">
        <v>53</v>
      </c>
      <c r="M155" s="5" t="s">
        <v>17</v>
      </c>
      <c r="N155" s="5" t="s">
        <v>41</v>
      </c>
      <c r="O155" s="5" t="s">
        <v>42</v>
      </c>
    </row>
    <row r="156" spans="1:15" s="4" customFormat="1">
      <c r="A156" s="4">
        <v>155</v>
      </c>
      <c r="B156" s="5" t="s">
        <v>334</v>
      </c>
      <c r="C156" s="3">
        <v>45710</v>
      </c>
      <c r="D156" s="5" t="s">
        <v>48</v>
      </c>
      <c r="E156" s="5" t="s">
        <v>49</v>
      </c>
      <c r="F156" s="5" t="s">
        <v>52</v>
      </c>
      <c r="G156" s="5">
        <v>4</v>
      </c>
      <c r="H156" s="5">
        <v>2</v>
      </c>
      <c r="I156" s="5">
        <v>1655</v>
      </c>
      <c r="J156" s="13">
        <v>1021200</v>
      </c>
      <c r="K156" s="15">
        <f t="shared" si="2"/>
        <v>617.03927492447133</v>
      </c>
      <c r="L156" s="5" t="s">
        <v>16</v>
      </c>
      <c r="M156" s="5" t="s">
        <v>17</v>
      </c>
      <c r="N156" s="5" t="s">
        <v>30</v>
      </c>
      <c r="O156" s="5" t="s">
        <v>37</v>
      </c>
    </row>
    <row r="157" spans="1:15" s="4" customFormat="1">
      <c r="A157" s="4">
        <v>156</v>
      </c>
      <c r="B157" s="5" t="s">
        <v>334</v>
      </c>
      <c r="C157" s="3">
        <v>45710</v>
      </c>
      <c r="D157" s="5" t="s">
        <v>48</v>
      </c>
      <c r="E157" s="5" t="s">
        <v>49</v>
      </c>
      <c r="F157" s="5" t="s">
        <v>52</v>
      </c>
      <c r="G157" s="5">
        <v>4</v>
      </c>
      <c r="H157" s="5">
        <v>2</v>
      </c>
      <c r="I157" s="5">
        <v>1655</v>
      </c>
      <c r="J157" s="13">
        <v>1021200</v>
      </c>
      <c r="K157" s="15">
        <f t="shared" si="2"/>
        <v>617.03927492447133</v>
      </c>
      <c r="L157" s="5" t="s">
        <v>16</v>
      </c>
      <c r="M157" s="5" t="s">
        <v>17</v>
      </c>
      <c r="N157" s="5" t="s">
        <v>30</v>
      </c>
      <c r="O157" s="5" t="s">
        <v>37</v>
      </c>
    </row>
    <row r="158" spans="1:15" s="4" customFormat="1">
      <c r="A158" s="4">
        <v>157</v>
      </c>
      <c r="B158" s="5" t="s">
        <v>276</v>
      </c>
      <c r="C158" s="3">
        <v>45782</v>
      </c>
      <c r="D158" s="5" t="s">
        <v>44</v>
      </c>
      <c r="E158" s="5" t="s">
        <v>75</v>
      </c>
      <c r="F158" s="5" t="s">
        <v>15</v>
      </c>
      <c r="G158" s="5">
        <v>3</v>
      </c>
      <c r="H158" s="5">
        <v>3</v>
      </c>
      <c r="I158" s="5">
        <v>1653</v>
      </c>
      <c r="J158" s="13">
        <v>636100</v>
      </c>
      <c r="K158" s="15">
        <f t="shared" si="2"/>
        <v>384.81548699334542</v>
      </c>
      <c r="L158" s="5" t="s">
        <v>53</v>
      </c>
      <c r="M158" s="5" t="s">
        <v>29</v>
      </c>
      <c r="N158" s="5" t="s">
        <v>30</v>
      </c>
      <c r="O158" s="5" t="s">
        <v>42</v>
      </c>
    </row>
    <row r="159" spans="1:15" s="4" customFormat="1">
      <c r="A159" s="4">
        <v>158</v>
      </c>
      <c r="B159" s="5" t="s">
        <v>437</v>
      </c>
      <c r="C159" s="3">
        <v>45713</v>
      </c>
      <c r="D159" s="5" t="s">
        <v>48</v>
      </c>
      <c r="E159" s="5" t="s">
        <v>61</v>
      </c>
      <c r="F159" s="5" t="s">
        <v>23</v>
      </c>
      <c r="G159" s="5">
        <v>3</v>
      </c>
      <c r="H159" s="5">
        <v>3</v>
      </c>
      <c r="I159" s="5">
        <v>1648</v>
      </c>
      <c r="J159" s="13">
        <v>1242000</v>
      </c>
      <c r="K159" s="15">
        <f t="shared" si="2"/>
        <v>753.64077669902917</v>
      </c>
      <c r="L159" s="5" t="s">
        <v>53</v>
      </c>
      <c r="M159" s="5" t="s">
        <v>29</v>
      </c>
      <c r="N159" s="5" t="s">
        <v>41</v>
      </c>
      <c r="O159" s="5" t="s">
        <v>42</v>
      </c>
    </row>
    <row r="160" spans="1:15" s="4" customFormat="1">
      <c r="A160" s="4">
        <v>159</v>
      </c>
      <c r="B160" s="5" t="s">
        <v>55</v>
      </c>
      <c r="C160" s="3">
        <v>45663</v>
      </c>
      <c r="D160" s="5" t="s">
        <v>27</v>
      </c>
      <c r="E160" s="5" t="s">
        <v>56</v>
      </c>
      <c r="F160" s="5" t="s">
        <v>52</v>
      </c>
      <c r="G160" s="5">
        <v>3</v>
      </c>
      <c r="H160" s="5">
        <v>2</v>
      </c>
      <c r="I160" s="5">
        <v>1648</v>
      </c>
      <c r="J160" s="13">
        <v>1383500</v>
      </c>
      <c r="K160" s="15">
        <f t="shared" si="2"/>
        <v>839.502427184466</v>
      </c>
      <c r="L160" s="5" t="s">
        <v>24</v>
      </c>
      <c r="M160" s="5" t="s">
        <v>29</v>
      </c>
      <c r="N160" s="5" t="s">
        <v>41</v>
      </c>
      <c r="O160" s="5" t="s">
        <v>35</v>
      </c>
    </row>
    <row r="161" spans="1:15" s="4" customFormat="1">
      <c r="A161" s="4">
        <v>160</v>
      </c>
      <c r="B161" s="5" t="s">
        <v>103</v>
      </c>
      <c r="C161" s="3">
        <v>46010</v>
      </c>
      <c r="D161" s="5" t="s">
        <v>39</v>
      </c>
      <c r="E161" s="5" t="s">
        <v>51</v>
      </c>
      <c r="F161" s="5" t="s">
        <v>23</v>
      </c>
      <c r="G161" s="5">
        <v>4</v>
      </c>
      <c r="H161" s="5">
        <v>3</v>
      </c>
      <c r="I161" s="5">
        <v>1642</v>
      </c>
      <c r="J161" s="13">
        <v>848200</v>
      </c>
      <c r="K161" s="15">
        <f t="shared" si="2"/>
        <v>516.5651644336175</v>
      </c>
      <c r="L161" s="5" t="s">
        <v>16</v>
      </c>
      <c r="M161" s="5" t="s">
        <v>29</v>
      </c>
      <c r="N161" s="5" t="s">
        <v>30</v>
      </c>
      <c r="O161" s="5" t="s">
        <v>46</v>
      </c>
    </row>
    <row r="162" spans="1:15" s="4" customFormat="1">
      <c r="A162" s="4">
        <v>161</v>
      </c>
      <c r="B162" s="5" t="s">
        <v>125</v>
      </c>
      <c r="C162" s="3">
        <v>45786</v>
      </c>
      <c r="D162" s="5" t="s">
        <v>27</v>
      </c>
      <c r="E162" s="5" t="s">
        <v>28</v>
      </c>
      <c r="F162" s="5" t="s">
        <v>52</v>
      </c>
      <c r="G162" s="5">
        <v>4</v>
      </c>
      <c r="H162" s="5">
        <v>3</v>
      </c>
      <c r="I162" s="5">
        <v>1641</v>
      </c>
      <c r="J162" s="13">
        <v>1149600</v>
      </c>
      <c r="K162" s="15">
        <f t="shared" si="2"/>
        <v>700.54844606946983</v>
      </c>
      <c r="L162" s="5" t="s">
        <v>16</v>
      </c>
      <c r="M162" s="5" t="s">
        <v>29</v>
      </c>
      <c r="N162" s="5" t="s">
        <v>41</v>
      </c>
      <c r="O162" s="5" t="s">
        <v>46</v>
      </c>
    </row>
    <row r="163" spans="1:15" s="4" customFormat="1">
      <c r="A163" s="4">
        <v>162</v>
      </c>
      <c r="B163" s="5" t="s">
        <v>248</v>
      </c>
      <c r="C163" s="3">
        <v>45905</v>
      </c>
      <c r="D163" s="5" t="s">
        <v>39</v>
      </c>
      <c r="E163" s="5" t="s">
        <v>40</v>
      </c>
      <c r="F163" s="5" t="s">
        <v>34</v>
      </c>
      <c r="G163" s="5">
        <v>4</v>
      </c>
      <c r="H163" s="5">
        <v>3</v>
      </c>
      <c r="I163" s="5">
        <v>1639</v>
      </c>
      <c r="J163" s="13">
        <v>908100</v>
      </c>
      <c r="K163" s="15">
        <f t="shared" si="2"/>
        <v>554.0573520439292</v>
      </c>
      <c r="L163" s="5" t="s">
        <v>16</v>
      </c>
      <c r="M163" s="5" t="s">
        <v>29</v>
      </c>
      <c r="N163" s="5" t="s">
        <v>30</v>
      </c>
      <c r="O163" s="5" t="s">
        <v>35</v>
      </c>
    </row>
    <row r="164" spans="1:15" s="4" customFormat="1">
      <c r="A164" s="4">
        <v>163</v>
      </c>
      <c r="B164" s="5" t="s">
        <v>529</v>
      </c>
      <c r="C164" s="3">
        <v>45817</v>
      </c>
      <c r="D164" s="5" t="s">
        <v>48</v>
      </c>
      <c r="E164" s="5" t="s">
        <v>567</v>
      </c>
      <c r="F164" s="5" t="s">
        <v>23</v>
      </c>
      <c r="G164" s="5">
        <v>3</v>
      </c>
      <c r="H164" s="5">
        <v>3</v>
      </c>
      <c r="I164" s="5">
        <v>1638</v>
      </c>
      <c r="J164" s="13">
        <v>1035200</v>
      </c>
      <c r="K164" s="15">
        <f t="shared" si="2"/>
        <v>631.99023199023202</v>
      </c>
      <c r="L164" s="5" t="s">
        <v>53</v>
      </c>
      <c r="M164" s="5" t="s">
        <v>29</v>
      </c>
      <c r="N164" s="5" t="s">
        <v>41</v>
      </c>
      <c r="O164" s="5" t="s">
        <v>42</v>
      </c>
    </row>
    <row r="165" spans="1:15" s="4" customFormat="1">
      <c r="A165" s="4">
        <v>164</v>
      </c>
      <c r="B165" s="5" t="s">
        <v>144</v>
      </c>
      <c r="C165" s="3">
        <v>45899</v>
      </c>
      <c r="D165" s="5" t="s">
        <v>21</v>
      </c>
      <c r="E165" s="5" t="s">
        <v>22</v>
      </c>
      <c r="F165" s="5" t="s">
        <v>52</v>
      </c>
      <c r="G165" s="5">
        <v>4</v>
      </c>
      <c r="H165" s="5">
        <v>4</v>
      </c>
      <c r="I165" s="5">
        <v>1627</v>
      </c>
      <c r="J165" s="13">
        <v>1793900</v>
      </c>
      <c r="K165" s="15">
        <f t="shared" si="2"/>
        <v>1102.5814382298709</v>
      </c>
      <c r="L165" s="5" t="s">
        <v>16</v>
      </c>
      <c r="M165" s="5" t="s">
        <v>17</v>
      </c>
      <c r="N165" s="5" t="s">
        <v>41</v>
      </c>
      <c r="O165" s="5" t="s">
        <v>46</v>
      </c>
    </row>
    <row r="166" spans="1:15" s="4" customFormat="1">
      <c r="A166" s="4">
        <v>165</v>
      </c>
      <c r="B166" s="5" t="s">
        <v>495</v>
      </c>
      <c r="C166" s="3">
        <v>45693</v>
      </c>
      <c r="D166" s="5" t="s">
        <v>39</v>
      </c>
      <c r="E166" s="5" t="s">
        <v>51</v>
      </c>
      <c r="F166" s="5" t="s">
        <v>23</v>
      </c>
      <c r="G166" s="5">
        <v>3</v>
      </c>
      <c r="H166" s="5">
        <v>3</v>
      </c>
      <c r="I166" s="5">
        <v>1623</v>
      </c>
      <c r="J166" s="13">
        <v>983500</v>
      </c>
      <c r="K166" s="15">
        <f t="shared" si="2"/>
        <v>605.9765865680838</v>
      </c>
      <c r="L166" s="5" t="s">
        <v>16</v>
      </c>
      <c r="M166" s="5" t="s">
        <v>17</v>
      </c>
      <c r="N166" s="5" t="s">
        <v>41</v>
      </c>
      <c r="O166" s="5" t="s">
        <v>35</v>
      </c>
    </row>
    <row r="167" spans="1:15" s="4" customFormat="1">
      <c r="A167" s="4">
        <v>166</v>
      </c>
      <c r="B167" s="5" t="s">
        <v>181</v>
      </c>
      <c r="C167" s="3">
        <v>45704</v>
      </c>
      <c r="D167" s="5" t="s">
        <v>39</v>
      </c>
      <c r="E167" s="5" t="s">
        <v>61</v>
      </c>
      <c r="F167" s="5" t="s">
        <v>23</v>
      </c>
      <c r="G167" s="5">
        <v>4</v>
      </c>
      <c r="H167" s="5">
        <v>3</v>
      </c>
      <c r="I167" s="5">
        <v>1618</v>
      </c>
      <c r="J167" s="13">
        <v>1038100</v>
      </c>
      <c r="K167" s="15">
        <f t="shared" si="2"/>
        <v>641.59456118665014</v>
      </c>
      <c r="L167" s="5" t="s">
        <v>24</v>
      </c>
      <c r="M167" s="5" t="s">
        <v>29</v>
      </c>
      <c r="N167" s="5" t="s">
        <v>30</v>
      </c>
      <c r="O167" s="5" t="s">
        <v>25</v>
      </c>
    </row>
    <row r="168" spans="1:15" s="4" customFormat="1">
      <c r="A168" s="4">
        <v>167</v>
      </c>
      <c r="B168" s="5" t="s">
        <v>159</v>
      </c>
      <c r="C168" s="3">
        <v>45725</v>
      </c>
      <c r="D168" s="5" t="s">
        <v>21</v>
      </c>
      <c r="E168" s="5" t="s">
        <v>67</v>
      </c>
      <c r="F168" s="5" t="s">
        <v>34</v>
      </c>
      <c r="G168" s="5">
        <v>4</v>
      </c>
      <c r="H168" s="5">
        <v>4</v>
      </c>
      <c r="I168" s="5">
        <v>1618</v>
      </c>
      <c r="J168" s="13">
        <v>1596600</v>
      </c>
      <c r="K168" s="15">
        <f t="shared" si="2"/>
        <v>986.77379480840546</v>
      </c>
      <c r="L168" s="5" t="s">
        <v>24</v>
      </c>
      <c r="M168" s="5" t="s">
        <v>17</v>
      </c>
      <c r="N168" s="5" t="s">
        <v>41</v>
      </c>
      <c r="O168" s="5" t="s">
        <v>35</v>
      </c>
    </row>
    <row r="169" spans="1:15" s="4" customFormat="1">
      <c r="A169" s="4">
        <v>168</v>
      </c>
      <c r="B169" s="5" t="s">
        <v>200</v>
      </c>
      <c r="C169" s="3">
        <v>45750</v>
      </c>
      <c r="D169" s="5" t="s">
        <v>14</v>
      </c>
      <c r="E169" s="5" t="s">
        <v>92</v>
      </c>
      <c r="F169" s="5" t="s">
        <v>15</v>
      </c>
      <c r="G169" s="5">
        <v>4</v>
      </c>
      <c r="H169" s="5">
        <v>3</v>
      </c>
      <c r="I169" s="5">
        <v>1612</v>
      </c>
      <c r="J169" s="13">
        <v>1024600</v>
      </c>
      <c r="K169" s="15">
        <f t="shared" si="2"/>
        <v>635.6079404466501</v>
      </c>
      <c r="L169" s="5" t="s">
        <v>16</v>
      </c>
      <c r="M169" s="5" t="s">
        <v>17</v>
      </c>
      <c r="N169" s="5" t="s">
        <v>30</v>
      </c>
      <c r="O169" s="5" t="s">
        <v>46</v>
      </c>
    </row>
    <row r="170" spans="1:15" s="4" customFormat="1">
      <c r="A170" s="4">
        <v>169</v>
      </c>
      <c r="B170" s="5" t="s">
        <v>391</v>
      </c>
      <c r="C170" s="3">
        <v>45969</v>
      </c>
      <c r="D170" s="5" t="s">
        <v>32</v>
      </c>
      <c r="E170" s="5" t="s">
        <v>112</v>
      </c>
      <c r="F170" s="5" t="s">
        <v>34</v>
      </c>
      <c r="G170" s="5">
        <v>3</v>
      </c>
      <c r="H170" s="5">
        <v>2</v>
      </c>
      <c r="I170" s="5">
        <v>1609</v>
      </c>
      <c r="J170" s="13">
        <v>546600</v>
      </c>
      <c r="K170" s="15">
        <f t="shared" si="2"/>
        <v>339.71410814170292</v>
      </c>
      <c r="L170" s="5" t="s">
        <v>53</v>
      </c>
      <c r="M170" s="5" t="s">
        <v>29</v>
      </c>
      <c r="N170" s="5" t="s">
        <v>18</v>
      </c>
      <c r="O170" s="5" t="s">
        <v>37</v>
      </c>
    </row>
    <row r="171" spans="1:15" s="4" customFormat="1">
      <c r="A171" s="4">
        <v>170</v>
      </c>
      <c r="B171" s="5" t="s">
        <v>187</v>
      </c>
      <c r="C171" s="3">
        <v>45952</v>
      </c>
      <c r="D171" s="5" t="s">
        <v>21</v>
      </c>
      <c r="E171" s="5" t="s">
        <v>109</v>
      </c>
      <c r="F171" s="5" t="s">
        <v>15</v>
      </c>
      <c r="G171" s="5">
        <v>3</v>
      </c>
      <c r="H171" s="5">
        <v>3</v>
      </c>
      <c r="I171" s="5">
        <v>1609</v>
      </c>
      <c r="J171" s="13">
        <v>1700900</v>
      </c>
      <c r="K171" s="15">
        <f t="shared" si="2"/>
        <v>1057.1162212554382</v>
      </c>
      <c r="L171" s="5" t="s">
        <v>53</v>
      </c>
      <c r="M171" s="5" t="s">
        <v>17</v>
      </c>
      <c r="N171" s="5" t="s">
        <v>41</v>
      </c>
      <c r="O171" s="5" t="s">
        <v>42</v>
      </c>
    </row>
    <row r="172" spans="1:15" s="4" customFormat="1">
      <c r="A172" s="4">
        <v>171</v>
      </c>
      <c r="B172" s="5" t="s">
        <v>441</v>
      </c>
      <c r="C172" s="3">
        <v>45981</v>
      </c>
      <c r="D172" s="5" t="s">
        <v>39</v>
      </c>
      <c r="E172" s="5" t="s">
        <v>40</v>
      </c>
      <c r="F172" s="5" t="s">
        <v>34</v>
      </c>
      <c r="G172" s="5">
        <v>4</v>
      </c>
      <c r="H172" s="5">
        <v>3</v>
      </c>
      <c r="I172" s="5">
        <v>1607</v>
      </c>
      <c r="J172" s="13">
        <v>1060000</v>
      </c>
      <c r="K172" s="15">
        <f t="shared" si="2"/>
        <v>659.61418792781581</v>
      </c>
      <c r="L172" s="5" t="s">
        <v>16</v>
      </c>
      <c r="M172" s="5" t="s">
        <v>29</v>
      </c>
      <c r="N172" s="5" t="s">
        <v>18</v>
      </c>
      <c r="O172" s="5" t="s">
        <v>35</v>
      </c>
    </row>
    <row r="173" spans="1:15" s="4" customFormat="1">
      <c r="A173" s="4">
        <v>172</v>
      </c>
      <c r="B173" s="5" t="s">
        <v>83</v>
      </c>
      <c r="C173" s="3">
        <v>45836</v>
      </c>
      <c r="D173" s="5" t="s">
        <v>21</v>
      </c>
      <c r="E173" s="5" t="s">
        <v>84</v>
      </c>
      <c r="F173" s="5" t="s">
        <v>23</v>
      </c>
      <c r="G173" s="5">
        <v>3</v>
      </c>
      <c r="H173" s="5">
        <v>3</v>
      </c>
      <c r="I173" s="5">
        <v>1606</v>
      </c>
      <c r="J173" s="13">
        <v>1509000</v>
      </c>
      <c r="K173" s="15">
        <f t="shared" si="2"/>
        <v>939.60149439601491</v>
      </c>
      <c r="L173" s="5" t="s">
        <v>16</v>
      </c>
      <c r="M173" s="5" t="s">
        <v>29</v>
      </c>
      <c r="N173" s="5" t="s">
        <v>30</v>
      </c>
      <c r="O173" s="5" t="s">
        <v>37</v>
      </c>
    </row>
    <row r="174" spans="1:15" s="4" customFormat="1">
      <c r="A174" s="4">
        <v>173</v>
      </c>
      <c r="B174" s="5" t="s">
        <v>193</v>
      </c>
      <c r="C174" s="3">
        <v>45846</v>
      </c>
      <c r="D174" s="5" t="s">
        <v>32</v>
      </c>
      <c r="E174" s="5" t="s">
        <v>61</v>
      </c>
      <c r="F174" s="5" t="s">
        <v>34</v>
      </c>
      <c r="G174" s="5">
        <v>3</v>
      </c>
      <c r="H174" s="5">
        <v>3</v>
      </c>
      <c r="I174" s="5">
        <v>1589</v>
      </c>
      <c r="J174" s="13">
        <v>475300</v>
      </c>
      <c r="K174" s="15">
        <f t="shared" si="2"/>
        <v>299.11894273127751</v>
      </c>
      <c r="L174" s="5" t="s">
        <v>53</v>
      </c>
      <c r="M174" s="5" t="s">
        <v>17</v>
      </c>
      <c r="N174" s="5" t="s">
        <v>41</v>
      </c>
      <c r="O174" s="5" t="s">
        <v>19</v>
      </c>
    </row>
    <row r="175" spans="1:15" s="4" customFormat="1">
      <c r="A175" s="4">
        <v>174</v>
      </c>
      <c r="B175" s="5" t="s">
        <v>307</v>
      </c>
      <c r="C175" s="3">
        <v>45988</v>
      </c>
      <c r="D175" s="5" t="s">
        <v>14</v>
      </c>
      <c r="E175" s="5" t="s">
        <v>82</v>
      </c>
      <c r="F175" s="5" t="s">
        <v>23</v>
      </c>
      <c r="G175" s="5">
        <v>4</v>
      </c>
      <c r="H175" s="5">
        <v>3</v>
      </c>
      <c r="I175" s="5">
        <v>1587</v>
      </c>
      <c r="J175" s="13">
        <v>840800</v>
      </c>
      <c r="K175" s="15">
        <f t="shared" si="2"/>
        <v>529.80466288594835</v>
      </c>
      <c r="L175" s="5" t="s">
        <v>24</v>
      </c>
      <c r="M175" s="5" t="s">
        <v>17</v>
      </c>
      <c r="N175" s="5" t="s">
        <v>30</v>
      </c>
      <c r="O175" s="5" t="s">
        <v>25</v>
      </c>
    </row>
    <row r="176" spans="1:15" s="4" customFormat="1">
      <c r="A176" s="4">
        <v>175</v>
      </c>
      <c r="B176" s="5" t="s">
        <v>367</v>
      </c>
      <c r="C176" s="3">
        <v>45801</v>
      </c>
      <c r="D176" s="5" t="s">
        <v>44</v>
      </c>
      <c r="E176" s="5" t="s">
        <v>65</v>
      </c>
      <c r="F176" s="5" t="s">
        <v>34</v>
      </c>
      <c r="G176" s="5">
        <v>3</v>
      </c>
      <c r="H176" s="5">
        <v>3</v>
      </c>
      <c r="I176" s="5">
        <v>1585</v>
      </c>
      <c r="J176" s="13">
        <v>662000</v>
      </c>
      <c r="K176" s="15">
        <f t="shared" si="2"/>
        <v>417.66561514195581</v>
      </c>
      <c r="L176" s="5" t="s">
        <v>16</v>
      </c>
      <c r="M176" s="5" t="s">
        <v>17</v>
      </c>
      <c r="N176" s="5" t="s">
        <v>41</v>
      </c>
      <c r="O176" s="5" t="s">
        <v>37</v>
      </c>
    </row>
    <row r="177" spans="1:15" s="4" customFormat="1">
      <c r="A177" s="4">
        <v>176</v>
      </c>
      <c r="B177" s="5" t="s">
        <v>494</v>
      </c>
      <c r="C177" s="3">
        <v>45702</v>
      </c>
      <c r="D177" s="5" t="s">
        <v>48</v>
      </c>
      <c r="E177" s="5" t="s">
        <v>92</v>
      </c>
      <c r="F177" s="5" t="s">
        <v>23</v>
      </c>
      <c r="G177" s="5">
        <v>4</v>
      </c>
      <c r="H177" s="5">
        <v>4</v>
      </c>
      <c r="I177" s="5">
        <v>1582</v>
      </c>
      <c r="J177" s="13">
        <v>1269800</v>
      </c>
      <c r="K177" s="15">
        <f t="shared" si="2"/>
        <v>802.6548672566372</v>
      </c>
      <c r="L177" s="5" t="s">
        <v>53</v>
      </c>
      <c r="M177" s="5" t="s">
        <v>17</v>
      </c>
      <c r="N177" s="5" t="s">
        <v>30</v>
      </c>
      <c r="O177" s="5" t="s">
        <v>42</v>
      </c>
    </row>
    <row r="178" spans="1:15" s="4" customFormat="1">
      <c r="A178" s="4">
        <v>177</v>
      </c>
      <c r="B178" s="5" t="s">
        <v>347</v>
      </c>
      <c r="C178" s="3">
        <v>45738</v>
      </c>
      <c r="D178" s="5" t="s">
        <v>27</v>
      </c>
      <c r="E178" s="5" t="s">
        <v>28</v>
      </c>
      <c r="F178" s="5" t="s">
        <v>15</v>
      </c>
      <c r="G178" s="5">
        <v>3</v>
      </c>
      <c r="H178" s="5">
        <v>2</v>
      </c>
      <c r="I178" s="5">
        <v>1571</v>
      </c>
      <c r="J178" s="13">
        <v>1017300</v>
      </c>
      <c r="K178" s="15">
        <f t="shared" si="2"/>
        <v>647.54933163590067</v>
      </c>
      <c r="L178" s="5" t="s">
        <v>53</v>
      </c>
      <c r="M178" s="5" t="s">
        <v>29</v>
      </c>
      <c r="N178" s="5" t="s">
        <v>41</v>
      </c>
      <c r="O178" s="5" t="s">
        <v>42</v>
      </c>
    </row>
    <row r="179" spans="1:15" s="4" customFormat="1">
      <c r="A179" s="4">
        <v>178</v>
      </c>
      <c r="B179" s="5" t="s">
        <v>347</v>
      </c>
      <c r="C179" s="3">
        <v>45738</v>
      </c>
      <c r="D179" s="5" t="s">
        <v>27</v>
      </c>
      <c r="E179" s="5" t="s">
        <v>28</v>
      </c>
      <c r="F179" s="5" t="s">
        <v>15</v>
      </c>
      <c r="G179" s="5">
        <v>3</v>
      </c>
      <c r="H179" s="5">
        <v>2</v>
      </c>
      <c r="I179" s="5">
        <v>1571</v>
      </c>
      <c r="J179" s="13">
        <v>1017300</v>
      </c>
      <c r="K179" s="15">
        <f t="shared" si="2"/>
        <v>647.54933163590067</v>
      </c>
      <c r="L179" s="5" t="s">
        <v>53</v>
      </c>
      <c r="M179" s="5" t="s">
        <v>29</v>
      </c>
      <c r="N179" s="5" t="s">
        <v>41</v>
      </c>
      <c r="O179" s="5" t="s">
        <v>42</v>
      </c>
    </row>
    <row r="180" spans="1:15" s="4" customFormat="1">
      <c r="A180" s="4">
        <v>179</v>
      </c>
      <c r="B180" s="5" t="s">
        <v>482</v>
      </c>
      <c r="C180" s="3">
        <v>45666</v>
      </c>
      <c r="D180" s="5" t="s">
        <v>14</v>
      </c>
      <c r="E180" s="5" t="s">
        <v>82</v>
      </c>
      <c r="F180" s="5" t="s">
        <v>52</v>
      </c>
      <c r="G180" s="5">
        <v>3</v>
      </c>
      <c r="H180" s="5">
        <v>2</v>
      </c>
      <c r="I180" s="5">
        <v>1565</v>
      </c>
      <c r="J180" s="13">
        <v>827600</v>
      </c>
      <c r="K180" s="15">
        <f t="shared" si="2"/>
        <v>528.8178913738019</v>
      </c>
      <c r="L180" s="5" t="s">
        <v>16</v>
      </c>
      <c r="M180" s="5" t="s">
        <v>17</v>
      </c>
      <c r="N180" s="5" t="s">
        <v>18</v>
      </c>
      <c r="O180" s="5" t="s">
        <v>35</v>
      </c>
    </row>
    <row r="181" spans="1:15" s="4" customFormat="1">
      <c r="A181" s="4">
        <v>180</v>
      </c>
      <c r="B181" s="5" t="s">
        <v>274</v>
      </c>
      <c r="C181" s="3">
        <v>45853</v>
      </c>
      <c r="D181" s="5" t="s">
        <v>21</v>
      </c>
      <c r="E181" s="5" t="s">
        <v>22</v>
      </c>
      <c r="F181" s="5" t="s">
        <v>52</v>
      </c>
      <c r="G181" s="5">
        <v>3</v>
      </c>
      <c r="H181" s="5">
        <v>3</v>
      </c>
      <c r="I181" s="5">
        <v>1563</v>
      </c>
      <c r="J181" s="13">
        <v>1642800</v>
      </c>
      <c r="K181" s="15">
        <f t="shared" si="2"/>
        <v>1051.0556621880999</v>
      </c>
      <c r="L181" s="5" t="s">
        <v>24</v>
      </c>
      <c r="M181" s="5" t="s">
        <v>17</v>
      </c>
      <c r="N181" s="5" t="s">
        <v>41</v>
      </c>
      <c r="O181" s="5" t="s">
        <v>25</v>
      </c>
    </row>
    <row r="182" spans="1:15" s="4" customFormat="1">
      <c r="A182" s="4">
        <v>181</v>
      </c>
      <c r="B182" s="5" t="s">
        <v>156</v>
      </c>
      <c r="C182" s="3">
        <v>45995</v>
      </c>
      <c r="D182" s="5" t="s">
        <v>44</v>
      </c>
      <c r="E182" s="5" t="s">
        <v>75</v>
      </c>
      <c r="F182" s="5" t="s">
        <v>34</v>
      </c>
      <c r="G182" s="5">
        <v>3</v>
      </c>
      <c r="H182" s="5">
        <v>3</v>
      </c>
      <c r="I182" s="5">
        <v>1553</v>
      </c>
      <c r="J182" s="13">
        <v>835800</v>
      </c>
      <c r="K182" s="15">
        <f t="shared" si="2"/>
        <v>538.18415969092075</v>
      </c>
      <c r="L182" s="5" t="s">
        <v>53</v>
      </c>
      <c r="M182" s="5" t="s">
        <v>17</v>
      </c>
      <c r="N182" s="5" t="s">
        <v>18</v>
      </c>
      <c r="O182" s="5" t="s">
        <v>35</v>
      </c>
    </row>
    <row r="183" spans="1:15" s="4" customFormat="1">
      <c r="A183" s="4">
        <v>182</v>
      </c>
      <c r="B183" s="5" t="s">
        <v>315</v>
      </c>
      <c r="C183" s="3">
        <v>45892</v>
      </c>
      <c r="D183" s="5" t="s">
        <v>32</v>
      </c>
      <c r="E183" s="5" t="s">
        <v>112</v>
      </c>
      <c r="F183" s="5" t="s">
        <v>52</v>
      </c>
      <c r="G183" s="5">
        <v>3</v>
      </c>
      <c r="H183" s="5">
        <v>3</v>
      </c>
      <c r="I183" s="5">
        <v>1549</v>
      </c>
      <c r="J183" s="13">
        <v>475200</v>
      </c>
      <c r="K183" s="15">
        <f t="shared" si="2"/>
        <v>306.77856681730151</v>
      </c>
      <c r="L183" s="5" t="s">
        <v>24</v>
      </c>
      <c r="M183" s="5" t="s">
        <v>29</v>
      </c>
      <c r="N183" s="5" t="s">
        <v>41</v>
      </c>
      <c r="O183" s="5" t="s">
        <v>42</v>
      </c>
    </row>
    <row r="184" spans="1:15" s="4" customFormat="1">
      <c r="A184" s="4">
        <v>183</v>
      </c>
      <c r="B184" s="5" t="s">
        <v>328</v>
      </c>
      <c r="C184" s="3">
        <v>45931</v>
      </c>
      <c r="D184" s="5" t="s">
        <v>32</v>
      </c>
      <c r="E184" s="5" t="s">
        <v>61</v>
      </c>
      <c r="F184" s="5" t="s">
        <v>15</v>
      </c>
      <c r="G184" s="5">
        <v>4</v>
      </c>
      <c r="H184" s="5">
        <v>4</v>
      </c>
      <c r="I184" s="5">
        <v>1549</v>
      </c>
      <c r="J184" s="13">
        <v>515600</v>
      </c>
      <c r="K184" s="15">
        <f t="shared" si="2"/>
        <v>332.85990961910909</v>
      </c>
      <c r="L184" s="5" t="s">
        <v>53</v>
      </c>
      <c r="M184" s="5" t="s">
        <v>29</v>
      </c>
      <c r="N184" s="5" t="s">
        <v>30</v>
      </c>
      <c r="O184" s="5" t="s">
        <v>46</v>
      </c>
    </row>
    <row r="185" spans="1:15" s="4" customFormat="1">
      <c r="A185" s="4">
        <v>184</v>
      </c>
      <c r="B185" s="5" t="s">
        <v>105</v>
      </c>
      <c r="C185" s="3">
        <v>45886</v>
      </c>
      <c r="D185" s="5" t="s">
        <v>27</v>
      </c>
      <c r="E185" s="5" t="s">
        <v>28</v>
      </c>
      <c r="F185" s="5" t="s">
        <v>52</v>
      </c>
      <c r="G185" s="5">
        <v>3</v>
      </c>
      <c r="H185" s="5">
        <v>2</v>
      </c>
      <c r="I185" s="5">
        <v>1549</v>
      </c>
      <c r="J185" s="13">
        <v>1280700</v>
      </c>
      <c r="K185" s="15">
        <f t="shared" si="2"/>
        <v>826.79147837314395</v>
      </c>
      <c r="L185" s="5" t="s">
        <v>16</v>
      </c>
      <c r="M185" s="5" t="s">
        <v>17</v>
      </c>
      <c r="N185" s="5" t="s">
        <v>30</v>
      </c>
      <c r="O185" s="5" t="s">
        <v>37</v>
      </c>
    </row>
    <row r="186" spans="1:15" s="4" customFormat="1">
      <c r="A186" s="4">
        <v>185</v>
      </c>
      <c r="B186" s="5" t="s">
        <v>390</v>
      </c>
      <c r="C186" s="3">
        <v>45709</v>
      </c>
      <c r="D186" s="5" t="s">
        <v>27</v>
      </c>
      <c r="E186" s="5" t="s">
        <v>69</v>
      </c>
      <c r="F186" s="5" t="s">
        <v>15</v>
      </c>
      <c r="G186" s="5">
        <v>3</v>
      </c>
      <c r="H186" s="5">
        <v>3</v>
      </c>
      <c r="I186" s="5">
        <v>1543</v>
      </c>
      <c r="J186" s="13">
        <v>1171700</v>
      </c>
      <c r="K186" s="15">
        <f t="shared" si="2"/>
        <v>759.36487362281275</v>
      </c>
      <c r="L186" s="5" t="s">
        <v>16</v>
      </c>
      <c r="M186" s="5" t="s">
        <v>29</v>
      </c>
      <c r="N186" s="5" t="s">
        <v>30</v>
      </c>
      <c r="O186" s="5" t="s">
        <v>35</v>
      </c>
    </row>
    <row r="187" spans="1:15" s="4" customFormat="1">
      <c r="A187" s="4">
        <v>186</v>
      </c>
      <c r="B187" s="5" t="s">
        <v>110</v>
      </c>
      <c r="C187" s="3">
        <v>45872</v>
      </c>
      <c r="D187" s="5" t="s">
        <v>14</v>
      </c>
      <c r="E187" s="5" t="s">
        <v>567</v>
      </c>
      <c r="F187" s="5" t="s">
        <v>52</v>
      </c>
      <c r="G187" s="5">
        <v>3</v>
      </c>
      <c r="H187" s="5">
        <v>3</v>
      </c>
      <c r="I187" s="5">
        <v>1541</v>
      </c>
      <c r="J187" s="13">
        <v>876800</v>
      </c>
      <c r="K187" s="15">
        <f t="shared" si="2"/>
        <v>568.98118105126537</v>
      </c>
      <c r="L187" s="5" t="s">
        <v>24</v>
      </c>
      <c r="M187" s="5" t="s">
        <v>29</v>
      </c>
      <c r="N187" s="5" t="s">
        <v>30</v>
      </c>
      <c r="O187" s="5" t="s">
        <v>46</v>
      </c>
    </row>
    <row r="188" spans="1:15" s="4" customFormat="1">
      <c r="A188" s="4">
        <v>187</v>
      </c>
      <c r="B188" s="5" t="s">
        <v>177</v>
      </c>
      <c r="C188" s="3">
        <v>45874</v>
      </c>
      <c r="D188" s="5" t="s">
        <v>21</v>
      </c>
      <c r="E188" s="5" t="s">
        <v>67</v>
      </c>
      <c r="F188" s="5" t="s">
        <v>15</v>
      </c>
      <c r="G188" s="5">
        <v>3</v>
      </c>
      <c r="H188" s="5">
        <v>3</v>
      </c>
      <c r="I188" s="5">
        <v>1537</v>
      </c>
      <c r="J188" s="13">
        <v>1629300</v>
      </c>
      <c r="K188" s="15">
        <f t="shared" si="2"/>
        <v>1060.0520494469747</v>
      </c>
      <c r="L188" s="5" t="s">
        <v>24</v>
      </c>
      <c r="M188" s="5" t="s">
        <v>29</v>
      </c>
      <c r="N188" s="5" t="s">
        <v>30</v>
      </c>
      <c r="O188" s="5" t="s">
        <v>564</v>
      </c>
    </row>
    <row r="189" spans="1:15" s="4" customFormat="1">
      <c r="A189" s="4">
        <v>188</v>
      </c>
      <c r="B189" s="5" t="s">
        <v>389</v>
      </c>
      <c r="C189" s="3">
        <v>45824</v>
      </c>
      <c r="D189" s="5" t="s">
        <v>32</v>
      </c>
      <c r="E189" s="5" t="s">
        <v>61</v>
      </c>
      <c r="F189" s="5" t="s">
        <v>15</v>
      </c>
      <c r="G189" s="5">
        <v>3</v>
      </c>
      <c r="H189" s="5">
        <v>2</v>
      </c>
      <c r="I189" s="5">
        <v>1531</v>
      </c>
      <c r="J189" s="13">
        <v>453500</v>
      </c>
      <c r="K189" s="15">
        <f t="shared" si="2"/>
        <v>296.21162638798171</v>
      </c>
      <c r="L189" s="5" t="s">
        <v>53</v>
      </c>
      <c r="M189" s="5" t="s">
        <v>17</v>
      </c>
      <c r="N189" s="5" t="s">
        <v>18</v>
      </c>
      <c r="O189" s="5" t="s">
        <v>42</v>
      </c>
    </row>
    <row r="190" spans="1:15" s="4" customFormat="1">
      <c r="A190" s="4">
        <v>189</v>
      </c>
      <c r="B190" s="5" t="s">
        <v>171</v>
      </c>
      <c r="C190" s="3">
        <v>45680</v>
      </c>
      <c r="D190" s="5" t="s">
        <v>27</v>
      </c>
      <c r="E190" s="5" t="s">
        <v>56</v>
      </c>
      <c r="F190" s="5" t="s">
        <v>52</v>
      </c>
      <c r="G190" s="5">
        <v>3</v>
      </c>
      <c r="H190" s="5">
        <v>3</v>
      </c>
      <c r="I190" s="5">
        <v>1531</v>
      </c>
      <c r="J190" s="13">
        <v>1277500</v>
      </c>
      <c r="K190" s="15">
        <f t="shared" si="2"/>
        <v>834.42194644023516</v>
      </c>
      <c r="L190" s="5" t="s">
        <v>24</v>
      </c>
      <c r="M190" s="5" t="s">
        <v>17</v>
      </c>
      <c r="N190" s="5" t="s">
        <v>30</v>
      </c>
      <c r="O190" s="5" t="s">
        <v>42</v>
      </c>
    </row>
    <row r="191" spans="1:15" s="4" customFormat="1">
      <c r="A191" s="4">
        <v>190</v>
      </c>
      <c r="B191" s="5" t="s">
        <v>451</v>
      </c>
      <c r="C191" s="3">
        <v>45924</v>
      </c>
      <c r="D191" s="5" t="s">
        <v>32</v>
      </c>
      <c r="E191" s="5" t="s">
        <v>61</v>
      </c>
      <c r="F191" s="5" t="s">
        <v>34</v>
      </c>
      <c r="G191" s="5">
        <v>3</v>
      </c>
      <c r="H191" s="5">
        <v>3</v>
      </c>
      <c r="I191" s="5">
        <v>1527</v>
      </c>
      <c r="J191" s="13">
        <v>584100</v>
      </c>
      <c r="K191" s="15">
        <f t="shared" si="2"/>
        <v>382.51473477406682</v>
      </c>
      <c r="L191" s="5" t="s">
        <v>16</v>
      </c>
      <c r="M191" s="5" t="s">
        <v>29</v>
      </c>
      <c r="N191" s="5" t="s">
        <v>30</v>
      </c>
      <c r="O191" s="5" t="s">
        <v>35</v>
      </c>
    </row>
    <row r="192" spans="1:15" s="4" customFormat="1">
      <c r="A192" s="4">
        <v>191</v>
      </c>
      <c r="B192" s="5" t="s">
        <v>118</v>
      </c>
      <c r="C192" s="3">
        <v>45965</v>
      </c>
      <c r="D192" s="5" t="s">
        <v>14</v>
      </c>
      <c r="E192" s="5" t="s">
        <v>56</v>
      </c>
      <c r="F192" s="5" t="s">
        <v>15</v>
      </c>
      <c r="G192" s="5">
        <v>4</v>
      </c>
      <c r="H192" s="5">
        <v>4</v>
      </c>
      <c r="I192" s="5">
        <v>1526</v>
      </c>
      <c r="J192" s="13">
        <v>931300</v>
      </c>
      <c r="K192" s="15">
        <f t="shared" si="2"/>
        <v>610.28833551769333</v>
      </c>
      <c r="L192" s="5" t="s">
        <v>16</v>
      </c>
      <c r="M192" s="5" t="s">
        <v>29</v>
      </c>
      <c r="N192" s="5" t="s">
        <v>30</v>
      </c>
      <c r="O192" s="5" t="s">
        <v>35</v>
      </c>
    </row>
    <row r="193" spans="1:15" s="4" customFormat="1">
      <c r="A193" s="4">
        <v>192</v>
      </c>
      <c r="B193" s="5" t="s">
        <v>312</v>
      </c>
      <c r="C193" s="3">
        <v>45752</v>
      </c>
      <c r="D193" s="5" t="s">
        <v>27</v>
      </c>
      <c r="E193" s="5" t="s">
        <v>79</v>
      </c>
      <c r="F193" s="5" t="s">
        <v>34</v>
      </c>
      <c r="G193" s="5">
        <v>3</v>
      </c>
      <c r="H193" s="5">
        <v>3</v>
      </c>
      <c r="I193" s="5">
        <v>1520</v>
      </c>
      <c r="J193" s="13">
        <v>764200</v>
      </c>
      <c r="K193" s="15">
        <f t="shared" si="2"/>
        <v>502.76315789473682</v>
      </c>
      <c r="L193" s="5" t="s">
        <v>16</v>
      </c>
      <c r="M193" s="5" t="s">
        <v>17</v>
      </c>
      <c r="N193" s="5" t="s">
        <v>30</v>
      </c>
      <c r="O193" s="5" t="s">
        <v>19</v>
      </c>
    </row>
    <row r="194" spans="1:15" s="4" customFormat="1">
      <c r="A194" s="4">
        <v>193</v>
      </c>
      <c r="B194" s="5" t="s">
        <v>378</v>
      </c>
      <c r="C194" s="3">
        <v>45903</v>
      </c>
      <c r="D194" s="5" t="s">
        <v>39</v>
      </c>
      <c r="E194" s="5" t="s">
        <v>51</v>
      </c>
      <c r="F194" s="5" t="s">
        <v>23</v>
      </c>
      <c r="G194" s="5">
        <v>3</v>
      </c>
      <c r="H194" s="5">
        <v>3</v>
      </c>
      <c r="I194" s="5">
        <v>1516</v>
      </c>
      <c r="J194" s="13">
        <v>835500</v>
      </c>
      <c r="K194" s="15">
        <f t="shared" ref="K194:K257" si="3">J194/I194</f>
        <v>551.1213720316623</v>
      </c>
      <c r="L194" s="5" t="s">
        <v>24</v>
      </c>
      <c r="M194" s="5" t="s">
        <v>29</v>
      </c>
      <c r="N194" s="5" t="s">
        <v>18</v>
      </c>
      <c r="O194" s="5" t="s">
        <v>25</v>
      </c>
    </row>
    <row r="195" spans="1:15" s="4" customFormat="1">
      <c r="A195" s="4">
        <v>194</v>
      </c>
      <c r="B195" s="5" t="s">
        <v>243</v>
      </c>
      <c r="C195" s="3">
        <v>45961</v>
      </c>
      <c r="D195" s="5" t="s">
        <v>32</v>
      </c>
      <c r="E195" s="5" t="s">
        <v>77</v>
      </c>
      <c r="F195" s="5" t="s">
        <v>52</v>
      </c>
      <c r="G195" s="5">
        <v>3</v>
      </c>
      <c r="H195" s="5">
        <v>2</v>
      </c>
      <c r="I195" s="5">
        <v>1515</v>
      </c>
      <c r="J195" s="13">
        <v>528500</v>
      </c>
      <c r="K195" s="15">
        <f t="shared" si="3"/>
        <v>348.84488448844883</v>
      </c>
      <c r="L195" s="5" t="s">
        <v>24</v>
      </c>
      <c r="M195" s="5" t="s">
        <v>17</v>
      </c>
      <c r="N195" s="5" t="s">
        <v>41</v>
      </c>
      <c r="O195" s="5" t="s">
        <v>35</v>
      </c>
    </row>
    <row r="196" spans="1:15" s="4" customFormat="1">
      <c r="A196" s="4">
        <v>195</v>
      </c>
      <c r="B196" s="5" t="s">
        <v>317</v>
      </c>
      <c r="C196" s="3">
        <v>45933</v>
      </c>
      <c r="D196" s="5" t="s">
        <v>39</v>
      </c>
      <c r="E196" s="5" t="s">
        <v>72</v>
      </c>
      <c r="F196" s="5" t="s">
        <v>52</v>
      </c>
      <c r="G196" s="5">
        <v>3</v>
      </c>
      <c r="H196" s="5">
        <v>3</v>
      </c>
      <c r="I196" s="5">
        <v>1515</v>
      </c>
      <c r="J196" s="13">
        <v>836600</v>
      </c>
      <c r="K196" s="15">
        <f t="shared" si="3"/>
        <v>552.21122112211219</v>
      </c>
      <c r="L196" s="5" t="s">
        <v>24</v>
      </c>
      <c r="M196" s="5" t="s">
        <v>29</v>
      </c>
      <c r="N196" s="5" t="s">
        <v>41</v>
      </c>
      <c r="O196" s="5" t="s">
        <v>46</v>
      </c>
    </row>
    <row r="197" spans="1:15" s="4" customFormat="1">
      <c r="A197" s="4">
        <v>196</v>
      </c>
      <c r="B197" s="5" t="s">
        <v>430</v>
      </c>
      <c r="C197" s="3">
        <v>45742</v>
      </c>
      <c r="D197" s="5" t="s">
        <v>27</v>
      </c>
      <c r="E197" s="5" t="s">
        <v>56</v>
      </c>
      <c r="F197" s="5" t="s">
        <v>15</v>
      </c>
      <c r="G197" s="5">
        <v>4</v>
      </c>
      <c r="H197" s="5">
        <v>4</v>
      </c>
      <c r="I197" s="5">
        <v>1515</v>
      </c>
      <c r="J197" s="13">
        <v>1075200</v>
      </c>
      <c r="K197" s="15">
        <f t="shared" si="3"/>
        <v>709.70297029702965</v>
      </c>
      <c r="L197" s="5" t="s">
        <v>16</v>
      </c>
      <c r="M197" s="5" t="s">
        <v>17</v>
      </c>
      <c r="N197" s="5" t="s">
        <v>30</v>
      </c>
      <c r="O197" s="5" t="s">
        <v>46</v>
      </c>
    </row>
    <row r="198" spans="1:15" s="4" customFormat="1">
      <c r="A198" s="4">
        <v>197</v>
      </c>
      <c r="B198" s="5" t="s">
        <v>430</v>
      </c>
      <c r="C198" s="3">
        <v>45742</v>
      </c>
      <c r="D198" s="5" t="s">
        <v>27</v>
      </c>
      <c r="E198" s="5" t="s">
        <v>56</v>
      </c>
      <c r="F198" s="5" t="s">
        <v>15</v>
      </c>
      <c r="G198" s="5">
        <v>4</v>
      </c>
      <c r="H198" s="5">
        <v>4</v>
      </c>
      <c r="I198" s="5">
        <v>1515</v>
      </c>
      <c r="J198" s="13">
        <v>1075200</v>
      </c>
      <c r="K198" s="15">
        <f t="shared" si="3"/>
        <v>709.70297029702965</v>
      </c>
      <c r="L198" s="5" t="s">
        <v>16</v>
      </c>
      <c r="M198" s="5" t="s">
        <v>17</v>
      </c>
      <c r="N198" s="5" t="s">
        <v>30</v>
      </c>
      <c r="O198" s="5" t="s">
        <v>46</v>
      </c>
    </row>
    <row r="199" spans="1:15" s="4" customFormat="1">
      <c r="A199" s="4">
        <v>198</v>
      </c>
      <c r="B199" s="5" t="s">
        <v>238</v>
      </c>
      <c r="C199" s="3">
        <v>45683</v>
      </c>
      <c r="D199" s="5" t="s">
        <v>21</v>
      </c>
      <c r="E199" s="5" t="s">
        <v>84</v>
      </c>
      <c r="F199" s="5" t="s">
        <v>52</v>
      </c>
      <c r="G199" s="5">
        <v>3</v>
      </c>
      <c r="H199" s="5">
        <v>3</v>
      </c>
      <c r="I199" s="5">
        <v>1515</v>
      </c>
      <c r="J199" s="13">
        <v>1473900</v>
      </c>
      <c r="K199" s="15">
        <f t="shared" si="3"/>
        <v>972.87128712871288</v>
      </c>
      <c r="L199" s="5" t="s">
        <v>53</v>
      </c>
      <c r="M199" s="5" t="s">
        <v>17</v>
      </c>
      <c r="N199" s="5" t="s">
        <v>41</v>
      </c>
      <c r="O199" s="5" t="s">
        <v>42</v>
      </c>
    </row>
    <row r="200" spans="1:15" s="4" customFormat="1">
      <c r="A200" s="4">
        <v>199</v>
      </c>
      <c r="B200" s="5" t="s">
        <v>104</v>
      </c>
      <c r="C200" s="3">
        <v>45720</v>
      </c>
      <c r="D200" s="5" t="s">
        <v>44</v>
      </c>
      <c r="E200" s="5" t="s">
        <v>75</v>
      </c>
      <c r="F200" s="5" t="s">
        <v>15</v>
      </c>
      <c r="G200" s="5">
        <v>3</v>
      </c>
      <c r="H200" s="5">
        <v>2</v>
      </c>
      <c r="I200" s="5">
        <v>1513</v>
      </c>
      <c r="J200" s="13">
        <v>716600</v>
      </c>
      <c r="K200" s="15">
        <f t="shared" si="3"/>
        <v>473.62855254461334</v>
      </c>
      <c r="L200" s="5" t="s">
        <v>53</v>
      </c>
      <c r="M200" s="5" t="s">
        <v>29</v>
      </c>
      <c r="N200" s="5" t="s">
        <v>30</v>
      </c>
      <c r="O200" s="5" t="s">
        <v>42</v>
      </c>
    </row>
    <row r="201" spans="1:15" s="4" customFormat="1">
      <c r="A201" s="4">
        <v>200</v>
      </c>
      <c r="B201" s="5" t="s">
        <v>412</v>
      </c>
      <c r="C201" s="3">
        <v>45665</v>
      </c>
      <c r="D201" s="5" t="s">
        <v>39</v>
      </c>
      <c r="E201" s="5" t="s">
        <v>51</v>
      </c>
      <c r="F201" s="5" t="s">
        <v>52</v>
      </c>
      <c r="G201" s="5">
        <v>3</v>
      </c>
      <c r="H201" s="5">
        <v>3</v>
      </c>
      <c r="I201" s="5">
        <v>1507</v>
      </c>
      <c r="J201" s="13">
        <v>807000</v>
      </c>
      <c r="K201" s="15">
        <f t="shared" si="3"/>
        <v>535.50099535500999</v>
      </c>
      <c r="L201" s="5" t="s">
        <v>16</v>
      </c>
      <c r="M201" s="5" t="s">
        <v>29</v>
      </c>
      <c r="N201" s="5" t="s">
        <v>18</v>
      </c>
      <c r="O201" s="5" t="s">
        <v>42</v>
      </c>
    </row>
    <row r="202" spans="1:15" s="4" customFormat="1">
      <c r="A202" s="4">
        <v>201</v>
      </c>
      <c r="B202" s="5" t="s">
        <v>555</v>
      </c>
      <c r="C202" s="3">
        <v>45860</v>
      </c>
      <c r="D202" s="5" t="s">
        <v>39</v>
      </c>
      <c r="E202" s="5" t="s">
        <v>72</v>
      </c>
      <c r="F202" s="5" t="s">
        <v>23</v>
      </c>
      <c r="G202" s="5">
        <v>3</v>
      </c>
      <c r="H202" s="5">
        <v>2</v>
      </c>
      <c r="I202" s="5">
        <v>1506</v>
      </c>
      <c r="J202" s="13">
        <v>789500</v>
      </c>
      <c r="K202" s="15">
        <f t="shared" si="3"/>
        <v>524.23638778220447</v>
      </c>
      <c r="L202" s="5" t="s">
        <v>24</v>
      </c>
      <c r="M202" s="5" t="s">
        <v>29</v>
      </c>
      <c r="N202" s="5" t="s">
        <v>41</v>
      </c>
      <c r="O202" s="5" t="s">
        <v>35</v>
      </c>
    </row>
    <row r="203" spans="1:15" s="4" customFormat="1">
      <c r="A203" s="4">
        <v>202</v>
      </c>
      <c r="B203" s="5" t="s">
        <v>319</v>
      </c>
      <c r="C203" s="3">
        <v>45885</v>
      </c>
      <c r="D203" s="5" t="s">
        <v>27</v>
      </c>
      <c r="E203" s="5" t="s">
        <v>69</v>
      </c>
      <c r="F203" s="5" t="s">
        <v>52</v>
      </c>
      <c r="G203" s="5">
        <v>4</v>
      </c>
      <c r="H203" s="5">
        <v>4</v>
      </c>
      <c r="I203" s="5">
        <v>1501</v>
      </c>
      <c r="J203" s="13">
        <v>1094700</v>
      </c>
      <c r="K203" s="15">
        <f t="shared" si="3"/>
        <v>729.31379080612919</v>
      </c>
      <c r="L203" s="5" t="s">
        <v>53</v>
      </c>
      <c r="M203" s="5" t="s">
        <v>29</v>
      </c>
      <c r="N203" s="5" t="s">
        <v>18</v>
      </c>
      <c r="O203" s="5" t="s">
        <v>35</v>
      </c>
    </row>
    <row r="204" spans="1:15" s="4" customFormat="1">
      <c r="A204" s="4">
        <v>203</v>
      </c>
      <c r="B204" s="5" t="s">
        <v>343</v>
      </c>
      <c r="C204" s="3">
        <v>45990</v>
      </c>
      <c r="D204" s="5" t="s">
        <v>44</v>
      </c>
      <c r="E204" s="5" t="s">
        <v>45</v>
      </c>
      <c r="F204" s="5" t="s">
        <v>34</v>
      </c>
      <c r="G204" s="5">
        <v>3</v>
      </c>
      <c r="H204" s="5">
        <v>2</v>
      </c>
      <c r="I204" s="5">
        <v>1499</v>
      </c>
      <c r="J204" s="13">
        <v>741300</v>
      </c>
      <c r="K204" s="15">
        <f t="shared" si="3"/>
        <v>494.52968645763843</v>
      </c>
      <c r="L204" s="5" t="s">
        <v>24</v>
      </c>
      <c r="M204" s="5" t="s">
        <v>29</v>
      </c>
      <c r="N204" s="5" t="s">
        <v>30</v>
      </c>
      <c r="O204" s="5" t="s">
        <v>42</v>
      </c>
    </row>
    <row r="205" spans="1:15" s="4" customFormat="1">
      <c r="A205" s="4">
        <v>204</v>
      </c>
      <c r="B205" s="5" t="s">
        <v>227</v>
      </c>
      <c r="C205" s="3">
        <v>45941</v>
      </c>
      <c r="D205" s="5" t="s">
        <v>48</v>
      </c>
      <c r="E205" s="5" t="s">
        <v>92</v>
      </c>
      <c r="F205" s="5" t="s">
        <v>23</v>
      </c>
      <c r="G205" s="5">
        <v>5</v>
      </c>
      <c r="H205" s="5">
        <v>5</v>
      </c>
      <c r="I205" s="5">
        <v>1499</v>
      </c>
      <c r="J205" s="13">
        <v>933500</v>
      </c>
      <c r="K205" s="15">
        <f t="shared" si="3"/>
        <v>622.74849899933292</v>
      </c>
      <c r="L205" s="5" t="s">
        <v>24</v>
      </c>
      <c r="M205" s="5" t="s">
        <v>17</v>
      </c>
      <c r="N205" s="5" t="s">
        <v>30</v>
      </c>
      <c r="O205" s="5" t="s">
        <v>35</v>
      </c>
    </row>
    <row r="206" spans="1:15" s="4" customFormat="1">
      <c r="A206" s="4">
        <v>205</v>
      </c>
      <c r="B206" s="5" t="s">
        <v>468</v>
      </c>
      <c r="C206" s="3">
        <v>45729</v>
      </c>
      <c r="D206" s="5" t="s">
        <v>48</v>
      </c>
      <c r="E206" s="5" t="s">
        <v>58</v>
      </c>
      <c r="F206" s="5" t="s">
        <v>52</v>
      </c>
      <c r="G206" s="5">
        <v>3</v>
      </c>
      <c r="H206" s="5">
        <v>3</v>
      </c>
      <c r="I206" s="5">
        <v>1499</v>
      </c>
      <c r="J206" s="13">
        <v>1132800</v>
      </c>
      <c r="K206" s="15">
        <f t="shared" si="3"/>
        <v>755.70380253502333</v>
      </c>
      <c r="L206" s="5" t="s">
        <v>24</v>
      </c>
      <c r="M206" s="5" t="s">
        <v>29</v>
      </c>
      <c r="N206" s="5" t="s">
        <v>30</v>
      </c>
      <c r="O206" s="5" t="s">
        <v>42</v>
      </c>
    </row>
    <row r="207" spans="1:15" s="4" customFormat="1">
      <c r="A207" s="4">
        <v>206</v>
      </c>
      <c r="B207" s="5" t="s">
        <v>511</v>
      </c>
      <c r="C207" s="3">
        <v>45789</v>
      </c>
      <c r="D207" s="5" t="s">
        <v>32</v>
      </c>
      <c r="E207" s="5" t="s">
        <v>33</v>
      </c>
      <c r="F207" s="5" t="s">
        <v>34</v>
      </c>
      <c r="G207" s="5">
        <v>3</v>
      </c>
      <c r="H207" s="5">
        <v>2</v>
      </c>
      <c r="I207" s="5">
        <v>1494</v>
      </c>
      <c r="J207" s="13">
        <v>568000</v>
      </c>
      <c r="K207" s="15">
        <f t="shared" si="3"/>
        <v>380.18741633199465</v>
      </c>
      <c r="L207" s="5" t="s">
        <v>53</v>
      </c>
      <c r="M207" s="5" t="s">
        <v>17</v>
      </c>
      <c r="N207" s="5" t="s">
        <v>30</v>
      </c>
      <c r="O207" s="5" t="s">
        <v>19</v>
      </c>
    </row>
    <row r="208" spans="1:15" s="4" customFormat="1">
      <c r="A208" s="4">
        <v>207</v>
      </c>
      <c r="B208" s="5" t="s">
        <v>222</v>
      </c>
      <c r="C208" s="3">
        <v>45847</v>
      </c>
      <c r="D208" s="5" t="s">
        <v>48</v>
      </c>
      <c r="E208" s="5" t="s">
        <v>58</v>
      </c>
      <c r="F208" s="5" t="s">
        <v>34</v>
      </c>
      <c r="G208" s="5">
        <v>3</v>
      </c>
      <c r="H208" s="5">
        <v>2</v>
      </c>
      <c r="I208" s="5">
        <v>1487</v>
      </c>
      <c r="J208" s="13">
        <v>1084100</v>
      </c>
      <c r="K208" s="15">
        <f t="shared" si="3"/>
        <v>729.05178211163411</v>
      </c>
      <c r="L208" s="5" t="s">
        <v>53</v>
      </c>
      <c r="M208" s="5" t="s">
        <v>17</v>
      </c>
      <c r="N208" s="5" t="s">
        <v>18</v>
      </c>
      <c r="O208" s="5" t="s">
        <v>35</v>
      </c>
    </row>
    <row r="209" spans="1:15" s="4" customFormat="1">
      <c r="A209" s="4">
        <v>208</v>
      </c>
      <c r="B209" s="5" t="s">
        <v>20</v>
      </c>
      <c r="C209" s="3">
        <v>45759</v>
      </c>
      <c r="D209" s="5" t="s">
        <v>21</v>
      </c>
      <c r="E209" s="5" t="s">
        <v>22</v>
      </c>
      <c r="F209" s="5" t="s">
        <v>23</v>
      </c>
      <c r="G209" s="5">
        <v>3</v>
      </c>
      <c r="H209" s="5">
        <v>2</v>
      </c>
      <c r="I209" s="5">
        <v>1483</v>
      </c>
      <c r="J209" s="13">
        <v>1349900</v>
      </c>
      <c r="K209" s="15">
        <f t="shared" si="3"/>
        <v>910.24949426837486</v>
      </c>
      <c r="L209" s="5" t="s">
        <v>24</v>
      </c>
      <c r="M209" s="5" t="s">
        <v>17</v>
      </c>
      <c r="N209" s="5" t="s">
        <v>18</v>
      </c>
      <c r="O209" s="5" t="s">
        <v>25</v>
      </c>
    </row>
    <row r="210" spans="1:15" s="4" customFormat="1">
      <c r="A210" s="4">
        <v>209</v>
      </c>
      <c r="B210" s="5" t="s">
        <v>471</v>
      </c>
      <c r="C210" s="3">
        <v>45972</v>
      </c>
      <c r="D210" s="5" t="s">
        <v>21</v>
      </c>
      <c r="E210" s="5" t="s">
        <v>109</v>
      </c>
      <c r="F210" s="5" t="s">
        <v>34</v>
      </c>
      <c r="G210" s="5">
        <v>3</v>
      </c>
      <c r="H210" s="5">
        <v>3</v>
      </c>
      <c r="I210" s="5">
        <v>1478</v>
      </c>
      <c r="J210" s="13">
        <v>1665300</v>
      </c>
      <c r="K210" s="15">
        <f t="shared" si="3"/>
        <v>1126.725304465494</v>
      </c>
      <c r="L210" s="5" t="s">
        <v>24</v>
      </c>
      <c r="M210" s="5" t="s">
        <v>29</v>
      </c>
      <c r="N210" s="5" t="s">
        <v>41</v>
      </c>
      <c r="O210" s="5" t="s">
        <v>46</v>
      </c>
    </row>
    <row r="211" spans="1:15" s="4" customFormat="1">
      <c r="A211" s="4">
        <v>210</v>
      </c>
      <c r="B211" s="5" t="s">
        <v>491</v>
      </c>
      <c r="C211" s="3">
        <v>45704</v>
      </c>
      <c r="D211" s="5" t="s">
        <v>27</v>
      </c>
      <c r="E211" s="5" t="s">
        <v>56</v>
      </c>
      <c r="F211" s="5" t="s">
        <v>23</v>
      </c>
      <c r="G211" s="5">
        <v>3</v>
      </c>
      <c r="H211" s="5">
        <v>2</v>
      </c>
      <c r="I211" s="5">
        <v>1474</v>
      </c>
      <c r="J211" s="13">
        <v>982200</v>
      </c>
      <c r="K211" s="15">
        <f t="shared" si="3"/>
        <v>666.3500678426052</v>
      </c>
      <c r="L211" s="5" t="s">
        <v>16</v>
      </c>
      <c r="M211" s="5" t="s">
        <v>17</v>
      </c>
      <c r="N211" s="5" t="s">
        <v>41</v>
      </c>
      <c r="O211" s="5" t="s">
        <v>25</v>
      </c>
    </row>
    <row r="212" spans="1:15" s="4" customFormat="1">
      <c r="A212" s="4">
        <v>211</v>
      </c>
      <c r="B212" s="5" t="s">
        <v>233</v>
      </c>
      <c r="C212" s="3">
        <v>45986</v>
      </c>
      <c r="D212" s="5" t="s">
        <v>48</v>
      </c>
      <c r="E212" s="5" t="s">
        <v>61</v>
      </c>
      <c r="F212" s="5" t="s">
        <v>15</v>
      </c>
      <c r="G212" s="5">
        <v>3</v>
      </c>
      <c r="H212" s="5">
        <v>2</v>
      </c>
      <c r="I212" s="5">
        <v>1474</v>
      </c>
      <c r="J212" s="13">
        <v>984300</v>
      </c>
      <c r="K212" s="15">
        <f t="shared" si="3"/>
        <v>667.77476255088197</v>
      </c>
      <c r="L212" s="5" t="s">
        <v>53</v>
      </c>
      <c r="M212" s="5" t="s">
        <v>17</v>
      </c>
      <c r="N212" s="5" t="s">
        <v>18</v>
      </c>
      <c r="O212" s="5" t="s">
        <v>42</v>
      </c>
    </row>
    <row r="213" spans="1:15" s="4" customFormat="1">
      <c r="A213" s="4">
        <v>212</v>
      </c>
      <c r="B213" s="5" t="s">
        <v>483</v>
      </c>
      <c r="C213" s="3">
        <v>45930</v>
      </c>
      <c r="D213" s="5" t="s">
        <v>21</v>
      </c>
      <c r="E213" s="5" t="s">
        <v>22</v>
      </c>
      <c r="F213" s="5" t="s">
        <v>52</v>
      </c>
      <c r="G213" s="5">
        <v>3</v>
      </c>
      <c r="H213" s="5">
        <v>2</v>
      </c>
      <c r="I213" s="5">
        <v>1449</v>
      </c>
      <c r="J213" s="13">
        <v>1287200</v>
      </c>
      <c r="K213" s="15">
        <f t="shared" si="3"/>
        <v>888.3367839889579</v>
      </c>
      <c r="L213" s="5" t="s">
        <v>24</v>
      </c>
      <c r="M213" s="5" t="s">
        <v>29</v>
      </c>
      <c r="N213" s="5" t="s">
        <v>18</v>
      </c>
      <c r="O213" s="5" t="s">
        <v>25</v>
      </c>
    </row>
    <row r="214" spans="1:15" s="4" customFormat="1">
      <c r="A214" s="4">
        <v>213</v>
      </c>
      <c r="B214" s="5" t="s">
        <v>546</v>
      </c>
      <c r="C214" s="3">
        <v>45788</v>
      </c>
      <c r="D214" s="5" t="s">
        <v>48</v>
      </c>
      <c r="E214" s="5" t="s">
        <v>58</v>
      </c>
      <c r="F214" s="5" t="s">
        <v>23</v>
      </c>
      <c r="G214" s="5">
        <v>3</v>
      </c>
      <c r="H214" s="5">
        <v>2</v>
      </c>
      <c r="I214" s="5">
        <v>1443</v>
      </c>
      <c r="J214" s="13">
        <v>1144700</v>
      </c>
      <c r="K214" s="15">
        <f t="shared" si="3"/>
        <v>793.27789327789333</v>
      </c>
      <c r="L214" s="5" t="s">
        <v>53</v>
      </c>
      <c r="M214" s="5" t="s">
        <v>17</v>
      </c>
      <c r="N214" s="5" t="s">
        <v>30</v>
      </c>
      <c r="O214" s="5" t="s">
        <v>25</v>
      </c>
    </row>
    <row r="215" spans="1:15" s="4" customFormat="1">
      <c r="A215" s="4">
        <v>214</v>
      </c>
      <c r="B215" s="5" t="s">
        <v>247</v>
      </c>
      <c r="C215" s="3">
        <v>45902</v>
      </c>
      <c r="D215" s="5" t="s">
        <v>21</v>
      </c>
      <c r="E215" s="5" t="s">
        <v>22</v>
      </c>
      <c r="F215" s="5" t="s">
        <v>23</v>
      </c>
      <c r="G215" s="5">
        <v>3</v>
      </c>
      <c r="H215" s="5">
        <v>3</v>
      </c>
      <c r="I215" s="5">
        <v>1441</v>
      </c>
      <c r="J215" s="13">
        <v>1699500</v>
      </c>
      <c r="K215" s="15">
        <f t="shared" si="3"/>
        <v>1179.3893129770993</v>
      </c>
      <c r="L215" s="5" t="s">
        <v>24</v>
      </c>
      <c r="M215" s="5" t="s">
        <v>17</v>
      </c>
      <c r="N215" s="5" t="s">
        <v>30</v>
      </c>
      <c r="O215" s="5" t="s">
        <v>46</v>
      </c>
    </row>
    <row r="216" spans="1:15" s="4" customFormat="1">
      <c r="A216" s="4">
        <v>215</v>
      </c>
      <c r="B216" s="5" t="s">
        <v>411</v>
      </c>
      <c r="C216" s="3">
        <v>45703</v>
      </c>
      <c r="D216" s="5" t="s">
        <v>32</v>
      </c>
      <c r="E216" s="5" t="s">
        <v>77</v>
      </c>
      <c r="F216" s="5" t="s">
        <v>23</v>
      </c>
      <c r="G216" s="5">
        <v>3</v>
      </c>
      <c r="H216" s="5">
        <v>3</v>
      </c>
      <c r="I216" s="5">
        <v>1440</v>
      </c>
      <c r="J216" s="13">
        <v>472200</v>
      </c>
      <c r="K216" s="15">
        <f t="shared" si="3"/>
        <v>327.91666666666669</v>
      </c>
      <c r="L216" s="5" t="s">
        <v>16</v>
      </c>
      <c r="M216" s="5" t="s">
        <v>17</v>
      </c>
      <c r="N216" s="5" t="s">
        <v>41</v>
      </c>
      <c r="O216" s="5" t="s">
        <v>25</v>
      </c>
    </row>
    <row r="217" spans="1:15" s="4" customFormat="1">
      <c r="A217" s="4">
        <v>216</v>
      </c>
      <c r="B217" s="5" t="s">
        <v>409</v>
      </c>
      <c r="C217" s="3">
        <v>45735</v>
      </c>
      <c r="D217" s="5" t="s">
        <v>21</v>
      </c>
      <c r="E217" s="5" t="s">
        <v>109</v>
      </c>
      <c r="F217" s="5" t="s">
        <v>34</v>
      </c>
      <c r="G217" s="5">
        <v>3</v>
      </c>
      <c r="H217" s="5">
        <v>3</v>
      </c>
      <c r="I217" s="5">
        <v>1439</v>
      </c>
      <c r="J217" s="13">
        <v>1707400</v>
      </c>
      <c r="K217" s="15">
        <f t="shared" si="3"/>
        <v>1186.5184155663655</v>
      </c>
      <c r="L217" s="5" t="s">
        <v>16</v>
      </c>
      <c r="M217" s="5" t="s">
        <v>29</v>
      </c>
      <c r="N217" s="5" t="s">
        <v>30</v>
      </c>
      <c r="O217" s="5" t="s">
        <v>25</v>
      </c>
    </row>
    <row r="218" spans="1:15" s="4" customFormat="1">
      <c r="A218" s="4">
        <v>217</v>
      </c>
      <c r="B218" s="5" t="s">
        <v>178</v>
      </c>
      <c r="C218" s="3">
        <v>45713</v>
      </c>
      <c r="D218" s="5" t="s">
        <v>32</v>
      </c>
      <c r="E218" s="5" t="s">
        <v>33</v>
      </c>
      <c r="F218" s="5" t="s">
        <v>15</v>
      </c>
      <c r="G218" s="5">
        <v>3</v>
      </c>
      <c r="H218" s="5">
        <v>2</v>
      </c>
      <c r="I218" s="5">
        <v>1432</v>
      </c>
      <c r="J218" s="13">
        <v>404100</v>
      </c>
      <c r="K218" s="15">
        <f t="shared" si="3"/>
        <v>282.1927374301676</v>
      </c>
      <c r="L218" s="5" t="s">
        <v>53</v>
      </c>
      <c r="M218" s="5" t="s">
        <v>17</v>
      </c>
      <c r="N218" s="5" t="s">
        <v>18</v>
      </c>
      <c r="O218" s="5" t="s">
        <v>37</v>
      </c>
    </row>
    <row r="219" spans="1:15" s="4" customFormat="1">
      <c r="A219" s="4">
        <v>218</v>
      </c>
      <c r="B219" s="5" t="s">
        <v>543</v>
      </c>
      <c r="C219" s="3">
        <v>45943</v>
      </c>
      <c r="D219" s="5" t="s">
        <v>44</v>
      </c>
      <c r="E219" s="5" t="s">
        <v>45</v>
      </c>
      <c r="F219" s="5" t="s">
        <v>23</v>
      </c>
      <c r="G219" s="5">
        <v>3</v>
      </c>
      <c r="H219" s="5">
        <v>2</v>
      </c>
      <c r="I219" s="5">
        <v>1429</v>
      </c>
      <c r="J219" s="13">
        <v>736200</v>
      </c>
      <c r="K219" s="15">
        <f t="shared" si="3"/>
        <v>515.18544436669004</v>
      </c>
      <c r="L219" s="5" t="s">
        <v>24</v>
      </c>
      <c r="M219" s="5" t="s">
        <v>17</v>
      </c>
      <c r="N219" s="5" t="s">
        <v>41</v>
      </c>
      <c r="O219" s="5" t="s">
        <v>19</v>
      </c>
    </row>
    <row r="220" spans="1:15" s="4" customFormat="1">
      <c r="A220" s="4">
        <v>219</v>
      </c>
      <c r="B220" s="5" t="s">
        <v>444</v>
      </c>
      <c r="C220" s="3">
        <v>45740</v>
      </c>
      <c r="D220" s="5" t="s">
        <v>27</v>
      </c>
      <c r="E220" s="5" t="s">
        <v>56</v>
      </c>
      <c r="F220" s="5" t="s">
        <v>15</v>
      </c>
      <c r="G220" s="5">
        <v>3</v>
      </c>
      <c r="H220" s="5">
        <v>3</v>
      </c>
      <c r="I220" s="5">
        <v>1428</v>
      </c>
      <c r="J220" s="13">
        <v>951700</v>
      </c>
      <c r="K220" s="15">
        <f t="shared" si="3"/>
        <v>666.45658263305324</v>
      </c>
      <c r="L220" s="5" t="s">
        <v>53</v>
      </c>
      <c r="M220" s="5" t="s">
        <v>17</v>
      </c>
      <c r="N220" s="5" t="s">
        <v>18</v>
      </c>
      <c r="O220" s="5" t="s">
        <v>19</v>
      </c>
    </row>
    <row r="221" spans="1:15" s="4" customFormat="1">
      <c r="A221" s="4">
        <v>220</v>
      </c>
      <c r="B221" s="5" t="s">
        <v>166</v>
      </c>
      <c r="C221" s="3">
        <v>45936</v>
      </c>
      <c r="D221" s="5" t="s">
        <v>32</v>
      </c>
      <c r="E221" s="5" t="s">
        <v>77</v>
      </c>
      <c r="F221" s="5" t="s">
        <v>52</v>
      </c>
      <c r="G221" s="5">
        <v>3</v>
      </c>
      <c r="H221" s="5">
        <v>3</v>
      </c>
      <c r="I221" s="5">
        <v>1418</v>
      </c>
      <c r="J221" s="13">
        <v>475800</v>
      </c>
      <c r="K221" s="15">
        <f t="shared" si="3"/>
        <v>335.54301833568405</v>
      </c>
      <c r="L221" s="5" t="s">
        <v>24</v>
      </c>
      <c r="M221" s="5" t="s">
        <v>17</v>
      </c>
      <c r="N221" s="5" t="s">
        <v>18</v>
      </c>
      <c r="O221" s="5" t="s">
        <v>25</v>
      </c>
    </row>
    <row r="222" spans="1:15" s="4" customFormat="1">
      <c r="A222" s="4">
        <v>221</v>
      </c>
      <c r="B222" s="5" t="s">
        <v>275</v>
      </c>
      <c r="C222" s="3">
        <v>45900</v>
      </c>
      <c r="D222" s="5" t="s">
        <v>39</v>
      </c>
      <c r="E222" s="5" t="s">
        <v>72</v>
      </c>
      <c r="F222" s="5" t="s">
        <v>34</v>
      </c>
      <c r="G222" s="5">
        <v>3</v>
      </c>
      <c r="H222" s="5">
        <v>3</v>
      </c>
      <c r="I222" s="5">
        <v>1414</v>
      </c>
      <c r="J222" s="13">
        <v>892400</v>
      </c>
      <c r="K222" s="15">
        <f t="shared" si="3"/>
        <v>631.11739745403111</v>
      </c>
      <c r="L222" s="5" t="s">
        <v>16</v>
      </c>
      <c r="M222" s="5" t="s">
        <v>29</v>
      </c>
      <c r="N222" s="5" t="s">
        <v>30</v>
      </c>
      <c r="O222" s="5" t="s">
        <v>42</v>
      </c>
    </row>
    <row r="223" spans="1:15" s="4" customFormat="1">
      <c r="A223" s="4">
        <v>222</v>
      </c>
      <c r="B223" s="5" t="s">
        <v>154</v>
      </c>
      <c r="C223" s="3">
        <v>45896</v>
      </c>
      <c r="D223" s="5" t="s">
        <v>44</v>
      </c>
      <c r="E223" s="5" t="s">
        <v>45</v>
      </c>
      <c r="F223" s="5" t="s">
        <v>52</v>
      </c>
      <c r="G223" s="5">
        <v>4</v>
      </c>
      <c r="H223" s="5">
        <v>4</v>
      </c>
      <c r="I223" s="5">
        <v>1409</v>
      </c>
      <c r="J223" s="13">
        <v>697600</v>
      </c>
      <c r="K223" s="15">
        <f t="shared" si="3"/>
        <v>495.10290986515258</v>
      </c>
      <c r="L223" s="5" t="s">
        <v>53</v>
      </c>
      <c r="M223" s="5" t="s">
        <v>29</v>
      </c>
      <c r="N223" s="5" t="s">
        <v>18</v>
      </c>
      <c r="O223" s="5" t="s">
        <v>25</v>
      </c>
    </row>
    <row r="224" spans="1:15" s="4" customFormat="1">
      <c r="A224" s="4">
        <v>223</v>
      </c>
      <c r="B224" s="5" t="s">
        <v>306</v>
      </c>
      <c r="C224" s="3">
        <v>45932</v>
      </c>
      <c r="D224" s="5" t="s">
        <v>39</v>
      </c>
      <c r="E224" s="5" t="s">
        <v>51</v>
      </c>
      <c r="F224" s="5" t="s">
        <v>52</v>
      </c>
      <c r="G224" s="5">
        <v>3</v>
      </c>
      <c r="H224" s="5">
        <v>3</v>
      </c>
      <c r="I224" s="5">
        <v>1408</v>
      </c>
      <c r="J224" s="13">
        <v>862400</v>
      </c>
      <c r="K224" s="15">
        <f t="shared" si="3"/>
        <v>612.5</v>
      </c>
      <c r="L224" s="5" t="s">
        <v>24</v>
      </c>
      <c r="M224" s="5" t="s">
        <v>29</v>
      </c>
      <c r="N224" s="5" t="s">
        <v>18</v>
      </c>
      <c r="O224" s="5" t="s">
        <v>46</v>
      </c>
    </row>
    <row r="225" spans="1:15" s="4" customFormat="1">
      <c r="A225" s="4">
        <v>224</v>
      </c>
      <c r="B225" s="5" t="s">
        <v>131</v>
      </c>
      <c r="C225" s="3">
        <v>45974</v>
      </c>
      <c r="D225" s="5" t="s">
        <v>21</v>
      </c>
      <c r="E225" s="5" t="s">
        <v>22</v>
      </c>
      <c r="F225" s="5" t="s">
        <v>15</v>
      </c>
      <c r="G225" s="5">
        <v>3</v>
      </c>
      <c r="H225" s="5">
        <v>3</v>
      </c>
      <c r="I225" s="5">
        <v>1405</v>
      </c>
      <c r="J225" s="13">
        <v>1393100</v>
      </c>
      <c r="K225" s="15">
        <f t="shared" si="3"/>
        <v>991.53024911032026</v>
      </c>
      <c r="L225" s="5" t="s">
        <v>16</v>
      </c>
      <c r="M225" s="5" t="s">
        <v>17</v>
      </c>
      <c r="N225" s="5" t="s">
        <v>30</v>
      </c>
      <c r="O225" s="5" t="s">
        <v>25</v>
      </c>
    </row>
    <row r="226" spans="1:15" s="4" customFormat="1">
      <c r="A226" s="4">
        <v>225</v>
      </c>
      <c r="B226" s="5" t="s">
        <v>78</v>
      </c>
      <c r="C226" s="3">
        <v>45778</v>
      </c>
      <c r="D226" s="5" t="s">
        <v>27</v>
      </c>
      <c r="E226" s="5" t="s">
        <v>79</v>
      </c>
      <c r="F226" s="5" t="s">
        <v>15</v>
      </c>
      <c r="G226" s="5">
        <v>3</v>
      </c>
      <c r="H226" s="5">
        <v>3</v>
      </c>
      <c r="I226" s="5">
        <v>1404</v>
      </c>
      <c r="J226" s="13">
        <v>882900</v>
      </c>
      <c r="K226" s="15">
        <f t="shared" si="3"/>
        <v>628.84615384615381</v>
      </c>
      <c r="L226" s="5" t="s">
        <v>53</v>
      </c>
      <c r="M226" s="5" t="s">
        <v>29</v>
      </c>
      <c r="N226" s="5" t="s">
        <v>41</v>
      </c>
      <c r="O226" s="5" t="s">
        <v>46</v>
      </c>
    </row>
    <row r="227" spans="1:15" s="4" customFormat="1">
      <c r="A227" s="4">
        <v>226</v>
      </c>
      <c r="B227" s="5" t="s">
        <v>400</v>
      </c>
      <c r="C227" s="3">
        <v>46022</v>
      </c>
      <c r="D227" s="5" t="s">
        <v>32</v>
      </c>
      <c r="E227" s="5" t="s">
        <v>72</v>
      </c>
      <c r="F227" s="5" t="s">
        <v>23</v>
      </c>
      <c r="G227" s="5">
        <v>3</v>
      </c>
      <c r="H227" s="5">
        <v>3</v>
      </c>
      <c r="I227" s="5">
        <v>1404</v>
      </c>
      <c r="J227" s="13">
        <v>894600</v>
      </c>
      <c r="K227" s="15">
        <f t="shared" si="3"/>
        <v>637.17948717948718</v>
      </c>
      <c r="L227" s="5" t="s">
        <v>24</v>
      </c>
      <c r="M227" s="5" t="s">
        <v>17</v>
      </c>
      <c r="N227" s="5" t="s">
        <v>30</v>
      </c>
      <c r="O227" s="5" t="s">
        <v>25</v>
      </c>
    </row>
    <row r="228" spans="1:15" s="4" customFormat="1">
      <c r="A228" s="4">
        <v>227</v>
      </c>
      <c r="B228" s="5" t="s">
        <v>498</v>
      </c>
      <c r="C228" s="3">
        <v>45892</v>
      </c>
      <c r="D228" s="5" t="s">
        <v>39</v>
      </c>
      <c r="E228" s="5" t="s">
        <v>112</v>
      </c>
      <c r="F228" s="5" t="s">
        <v>52</v>
      </c>
      <c r="G228" s="5">
        <v>3</v>
      </c>
      <c r="H228" s="5">
        <v>3</v>
      </c>
      <c r="I228" s="5">
        <v>1401</v>
      </c>
      <c r="J228" s="13">
        <v>502900</v>
      </c>
      <c r="K228" s="15">
        <f t="shared" si="3"/>
        <v>358.95788722341183</v>
      </c>
      <c r="L228" s="5" t="s">
        <v>24</v>
      </c>
      <c r="M228" s="5" t="s">
        <v>17</v>
      </c>
      <c r="N228" s="5" t="s">
        <v>41</v>
      </c>
      <c r="O228" s="5" t="s">
        <v>19</v>
      </c>
    </row>
    <row r="229" spans="1:15" s="4" customFormat="1">
      <c r="A229" s="4">
        <v>228</v>
      </c>
      <c r="B229" s="5" t="s">
        <v>266</v>
      </c>
      <c r="C229" s="3">
        <v>45954</v>
      </c>
      <c r="D229" s="5" t="s">
        <v>21</v>
      </c>
      <c r="E229" s="5" t="s">
        <v>109</v>
      </c>
      <c r="F229" s="5" t="s">
        <v>34</v>
      </c>
      <c r="G229" s="5">
        <v>4</v>
      </c>
      <c r="H229" s="5">
        <v>4</v>
      </c>
      <c r="I229" s="5">
        <v>1400</v>
      </c>
      <c r="J229" s="13">
        <v>1610800</v>
      </c>
      <c r="K229" s="15">
        <f t="shared" si="3"/>
        <v>1150.5714285714287</v>
      </c>
      <c r="L229" s="5" t="s">
        <v>16</v>
      </c>
      <c r="M229" s="5" t="s">
        <v>29</v>
      </c>
      <c r="N229" s="5" t="s">
        <v>30</v>
      </c>
      <c r="O229" s="5" t="s">
        <v>37</v>
      </c>
    </row>
    <row r="230" spans="1:15" s="4" customFormat="1">
      <c r="A230" s="4">
        <v>229</v>
      </c>
      <c r="B230" s="5" t="s">
        <v>490</v>
      </c>
      <c r="C230" s="3">
        <v>45767</v>
      </c>
      <c r="D230" s="5" t="s">
        <v>14</v>
      </c>
      <c r="E230" s="5" t="s">
        <v>56</v>
      </c>
      <c r="F230" s="5" t="s">
        <v>15</v>
      </c>
      <c r="G230" s="5">
        <v>4</v>
      </c>
      <c r="H230" s="5">
        <v>4</v>
      </c>
      <c r="I230" s="5">
        <v>1399</v>
      </c>
      <c r="J230" s="13">
        <v>710700</v>
      </c>
      <c r="K230" s="15">
        <f t="shared" si="3"/>
        <v>508.00571837026445</v>
      </c>
      <c r="L230" s="5" t="s">
        <v>24</v>
      </c>
      <c r="M230" s="5" t="s">
        <v>17</v>
      </c>
      <c r="N230" s="5" t="s">
        <v>30</v>
      </c>
      <c r="O230" s="5" t="s">
        <v>35</v>
      </c>
    </row>
    <row r="231" spans="1:15" s="4" customFormat="1">
      <c r="A231" s="4">
        <v>230</v>
      </c>
      <c r="B231" s="5" t="s">
        <v>63</v>
      </c>
      <c r="C231" s="3">
        <v>45882</v>
      </c>
      <c r="D231" s="5" t="s">
        <v>14</v>
      </c>
      <c r="E231" s="5" t="s">
        <v>56</v>
      </c>
      <c r="F231" s="5" t="s">
        <v>34</v>
      </c>
      <c r="G231" s="5">
        <v>3</v>
      </c>
      <c r="H231" s="5">
        <v>2</v>
      </c>
      <c r="I231" s="5">
        <v>1397</v>
      </c>
      <c r="J231" s="13">
        <v>908300</v>
      </c>
      <c r="K231" s="15">
        <f t="shared" si="3"/>
        <v>650.17895490336434</v>
      </c>
      <c r="L231" s="5" t="s">
        <v>24</v>
      </c>
      <c r="M231" s="5" t="s">
        <v>17</v>
      </c>
      <c r="N231" s="5" t="s">
        <v>18</v>
      </c>
      <c r="O231" s="5" t="s">
        <v>564</v>
      </c>
    </row>
    <row r="232" spans="1:15" s="4" customFormat="1">
      <c r="A232" s="4">
        <v>231</v>
      </c>
      <c r="B232" s="5" t="s">
        <v>327</v>
      </c>
      <c r="C232" s="3">
        <v>45800</v>
      </c>
      <c r="D232" s="5" t="s">
        <v>39</v>
      </c>
      <c r="E232" s="5" t="s">
        <v>51</v>
      </c>
      <c r="F232" s="5" t="s">
        <v>15</v>
      </c>
      <c r="G232" s="5">
        <v>4</v>
      </c>
      <c r="H232" s="5">
        <v>4</v>
      </c>
      <c r="I232" s="5">
        <v>1387</v>
      </c>
      <c r="J232" s="13">
        <v>713100</v>
      </c>
      <c r="K232" s="15">
        <f t="shared" si="3"/>
        <v>514.13121845710168</v>
      </c>
      <c r="L232" s="5" t="s">
        <v>24</v>
      </c>
      <c r="M232" s="5" t="s">
        <v>17</v>
      </c>
      <c r="N232" s="5" t="s">
        <v>30</v>
      </c>
      <c r="O232" s="5" t="s">
        <v>25</v>
      </c>
    </row>
    <row r="233" spans="1:15" s="4" customFormat="1">
      <c r="A233" s="4">
        <v>232</v>
      </c>
      <c r="B233" s="5" t="s">
        <v>493</v>
      </c>
      <c r="C233" s="3">
        <v>45994</v>
      </c>
      <c r="D233" s="5" t="s">
        <v>21</v>
      </c>
      <c r="E233" s="5" t="s">
        <v>22</v>
      </c>
      <c r="F233" s="5" t="s">
        <v>52</v>
      </c>
      <c r="G233" s="5">
        <v>3</v>
      </c>
      <c r="H233" s="5">
        <v>3</v>
      </c>
      <c r="I233" s="5">
        <v>1382</v>
      </c>
      <c r="J233" s="13">
        <v>1288200</v>
      </c>
      <c r="K233" s="15">
        <f t="shared" si="3"/>
        <v>932.12735166425466</v>
      </c>
      <c r="L233" s="5" t="s">
        <v>24</v>
      </c>
      <c r="M233" s="5" t="s">
        <v>17</v>
      </c>
      <c r="N233" s="5" t="s">
        <v>18</v>
      </c>
      <c r="O233" s="5" t="s">
        <v>19</v>
      </c>
    </row>
    <row r="234" spans="1:15" s="4" customFormat="1">
      <c r="A234" s="4">
        <v>233</v>
      </c>
      <c r="B234" s="5" t="s">
        <v>370</v>
      </c>
      <c r="C234" s="3">
        <v>45966</v>
      </c>
      <c r="D234" s="5" t="s">
        <v>44</v>
      </c>
      <c r="E234" s="5" t="s">
        <v>45</v>
      </c>
      <c r="F234" s="5" t="s">
        <v>52</v>
      </c>
      <c r="G234" s="5">
        <v>3</v>
      </c>
      <c r="H234" s="5">
        <v>3</v>
      </c>
      <c r="I234" s="5">
        <v>1380</v>
      </c>
      <c r="J234" s="13">
        <v>544800</v>
      </c>
      <c r="K234" s="15">
        <f t="shared" si="3"/>
        <v>394.78260869565219</v>
      </c>
      <c r="L234" s="5" t="s">
        <v>16</v>
      </c>
      <c r="M234" s="5" t="s">
        <v>29</v>
      </c>
      <c r="N234" s="5" t="s">
        <v>41</v>
      </c>
      <c r="O234" s="5" t="s">
        <v>25</v>
      </c>
    </row>
    <row r="235" spans="1:15" s="4" customFormat="1">
      <c r="A235" s="4">
        <v>234</v>
      </c>
      <c r="B235" s="5" t="s">
        <v>399</v>
      </c>
      <c r="C235" s="3">
        <v>45867</v>
      </c>
      <c r="D235" s="5" t="s">
        <v>32</v>
      </c>
      <c r="E235" s="5" t="s">
        <v>92</v>
      </c>
      <c r="F235" s="5" t="s">
        <v>23</v>
      </c>
      <c r="G235" s="5">
        <v>4</v>
      </c>
      <c r="H235" s="5">
        <v>4</v>
      </c>
      <c r="I235" s="5">
        <v>1377</v>
      </c>
      <c r="J235" s="13">
        <v>920900</v>
      </c>
      <c r="K235" s="15">
        <f t="shared" si="3"/>
        <v>668.77269426289035</v>
      </c>
      <c r="L235" s="5" t="s">
        <v>24</v>
      </c>
      <c r="M235" s="5" t="s">
        <v>29</v>
      </c>
      <c r="N235" s="5" t="s">
        <v>41</v>
      </c>
      <c r="O235" s="5" t="s">
        <v>19</v>
      </c>
    </row>
    <row r="236" spans="1:15" s="4" customFormat="1">
      <c r="A236" s="4">
        <v>235</v>
      </c>
      <c r="B236" s="5" t="s">
        <v>350</v>
      </c>
      <c r="C236" s="3">
        <v>45896</v>
      </c>
      <c r="D236" s="5" t="s">
        <v>21</v>
      </c>
      <c r="E236" s="5" t="s">
        <v>84</v>
      </c>
      <c r="F236" s="5" t="s">
        <v>23</v>
      </c>
      <c r="G236" s="5">
        <v>2</v>
      </c>
      <c r="H236" s="5">
        <v>1</v>
      </c>
      <c r="I236" s="5">
        <v>1371</v>
      </c>
      <c r="J236" s="13">
        <v>1264000</v>
      </c>
      <c r="K236" s="15">
        <f t="shared" si="3"/>
        <v>921.95477753464627</v>
      </c>
      <c r="L236" s="5" t="s">
        <v>53</v>
      </c>
      <c r="M236" s="5" t="s">
        <v>17</v>
      </c>
      <c r="N236" s="5" t="s">
        <v>30</v>
      </c>
      <c r="O236" s="5" t="s">
        <v>19</v>
      </c>
    </row>
    <row r="237" spans="1:15" s="4" customFormat="1">
      <c r="A237" s="4">
        <v>236</v>
      </c>
      <c r="B237" s="5" t="s">
        <v>138</v>
      </c>
      <c r="C237" s="3">
        <v>45884</v>
      </c>
      <c r="D237" s="5" t="s">
        <v>27</v>
      </c>
      <c r="E237" s="5" t="s">
        <v>56</v>
      </c>
      <c r="F237" s="5" t="s">
        <v>34</v>
      </c>
      <c r="G237" s="5">
        <v>3</v>
      </c>
      <c r="H237" s="5">
        <v>3</v>
      </c>
      <c r="I237" s="5">
        <v>1362</v>
      </c>
      <c r="J237" s="13">
        <v>1089300</v>
      </c>
      <c r="K237" s="15">
        <f t="shared" si="3"/>
        <v>799.77973568281936</v>
      </c>
      <c r="L237" s="5" t="s">
        <v>53</v>
      </c>
      <c r="M237" s="5" t="s">
        <v>29</v>
      </c>
      <c r="N237" s="5" t="s">
        <v>41</v>
      </c>
      <c r="O237" s="5" t="s">
        <v>25</v>
      </c>
    </row>
    <row r="238" spans="1:15" s="4" customFormat="1">
      <c r="A238" s="4">
        <v>237</v>
      </c>
      <c r="B238" s="5" t="s">
        <v>220</v>
      </c>
      <c r="C238" s="3">
        <v>45984</v>
      </c>
      <c r="D238" s="5" t="s">
        <v>21</v>
      </c>
      <c r="E238" s="5" t="s">
        <v>67</v>
      </c>
      <c r="F238" s="5" t="s">
        <v>52</v>
      </c>
      <c r="G238" s="5">
        <v>2</v>
      </c>
      <c r="H238" s="5">
        <v>1</v>
      </c>
      <c r="I238" s="5">
        <v>1362</v>
      </c>
      <c r="J238" s="13">
        <v>1223100</v>
      </c>
      <c r="K238" s="15">
        <f t="shared" si="3"/>
        <v>898.01762114537451</v>
      </c>
      <c r="L238" s="5" t="s">
        <v>53</v>
      </c>
      <c r="M238" s="5" t="s">
        <v>17</v>
      </c>
      <c r="N238" s="5" t="s">
        <v>41</v>
      </c>
      <c r="O238" s="5" t="s">
        <v>42</v>
      </c>
    </row>
    <row r="239" spans="1:15" s="4" customFormat="1">
      <c r="A239" s="4">
        <v>238</v>
      </c>
      <c r="B239" s="5" t="s">
        <v>258</v>
      </c>
      <c r="C239" s="3">
        <v>45865</v>
      </c>
      <c r="D239" s="5" t="s">
        <v>21</v>
      </c>
      <c r="E239" s="5" t="s">
        <v>67</v>
      </c>
      <c r="F239" s="5" t="s">
        <v>34</v>
      </c>
      <c r="G239" s="5">
        <v>3</v>
      </c>
      <c r="H239" s="5">
        <v>2</v>
      </c>
      <c r="I239" s="5">
        <v>1356</v>
      </c>
      <c r="J239" s="13">
        <v>1603200</v>
      </c>
      <c r="K239" s="15">
        <f t="shared" si="3"/>
        <v>1182.3008849557523</v>
      </c>
      <c r="L239" s="5" t="s">
        <v>53</v>
      </c>
      <c r="M239" s="5" t="s">
        <v>17</v>
      </c>
      <c r="N239" s="5" t="s">
        <v>18</v>
      </c>
      <c r="O239" s="5" t="s">
        <v>25</v>
      </c>
    </row>
    <row r="240" spans="1:15" s="4" customFormat="1">
      <c r="A240" s="4">
        <v>239</v>
      </c>
      <c r="B240" s="5" t="s">
        <v>560</v>
      </c>
      <c r="C240" s="3">
        <v>45730</v>
      </c>
      <c r="D240" s="5" t="s">
        <v>44</v>
      </c>
      <c r="E240" s="5" t="s">
        <v>45</v>
      </c>
      <c r="F240" s="5" t="s">
        <v>23</v>
      </c>
      <c r="G240" s="5">
        <v>3</v>
      </c>
      <c r="H240" s="5">
        <v>2</v>
      </c>
      <c r="I240" s="5">
        <v>1350</v>
      </c>
      <c r="J240" s="13">
        <v>641900</v>
      </c>
      <c r="K240" s="15">
        <f t="shared" si="3"/>
        <v>475.48148148148147</v>
      </c>
      <c r="L240" s="5" t="s">
        <v>24</v>
      </c>
      <c r="M240" s="5" t="s">
        <v>29</v>
      </c>
      <c r="N240" s="5" t="s">
        <v>30</v>
      </c>
      <c r="O240" s="5" t="s">
        <v>35</v>
      </c>
    </row>
    <row r="241" spans="1:15" s="4" customFormat="1">
      <c r="A241" s="4">
        <v>240</v>
      </c>
      <c r="B241" s="5" t="s">
        <v>229</v>
      </c>
      <c r="C241" s="3">
        <v>45723</v>
      </c>
      <c r="D241" s="5" t="s">
        <v>14</v>
      </c>
      <c r="E241" s="5" t="s">
        <v>567</v>
      </c>
      <c r="F241" s="5" t="s">
        <v>52</v>
      </c>
      <c r="G241" s="5">
        <v>3</v>
      </c>
      <c r="H241" s="5">
        <v>2</v>
      </c>
      <c r="I241" s="5">
        <v>1349</v>
      </c>
      <c r="J241" s="13">
        <v>794400</v>
      </c>
      <c r="K241" s="15">
        <f t="shared" si="3"/>
        <v>588.88065233506302</v>
      </c>
      <c r="L241" s="5" t="s">
        <v>24</v>
      </c>
      <c r="M241" s="5" t="s">
        <v>29</v>
      </c>
      <c r="N241" s="5" t="s">
        <v>18</v>
      </c>
      <c r="O241" s="5" t="s">
        <v>25</v>
      </c>
    </row>
    <row r="242" spans="1:15" s="4" customFormat="1">
      <c r="A242" s="4">
        <v>241</v>
      </c>
      <c r="B242" s="5" t="s">
        <v>236</v>
      </c>
      <c r="C242" s="3">
        <v>45872</v>
      </c>
      <c r="D242" s="5" t="s">
        <v>32</v>
      </c>
      <c r="E242" s="5" t="s">
        <v>112</v>
      </c>
      <c r="F242" s="5" t="s">
        <v>23</v>
      </c>
      <c r="G242" s="5">
        <v>2</v>
      </c>
      <c r="H242" s="5">
        <v>2</v>
      </c>
      <c r="I242" s="5">
        <v>1341</v>
      </c>
      <c r="J242" s="13">
        <v>483700</v>
      </c>
      <c r="K242" s="15">
        <f t="shared" si="3"/>
        <v>360.70096942580165</v>
      </c>
      <c r="L242" s="5" t="s">
        <v>16</v>
      </c>
      <c r="M242" s="5" t="s">
        <v>29</v>
      </c>
      <c r="N242" s="5" t="s">
        <v>30</v>
      </c>
      <c r="O242" s="5" t="s">
        <v>35</v>
      </c>
    </row>
    <row r="243" spans="1:15" s="4" customFormat="1">
      <c r="A243" s="4">
        <v>242</v>
      </c>
      <c r="B243" s="5" t="s">
        <v>431</v>
      </c>
      <c r="C243" s="3">
        <v>45851</v>
      </c>
      <c r="D243" s="5" t="s">
        <v>32</v>
      </c>
      <c r="E243" s="5" t="s">
        <v>33</v>
      </c>
      <c r="F243" s="5" t="s">
        <v>15</v>
      </c>
      <c r="G243" s="5">
        <v>3</v>
      </c>
      <c r="H243" s="5">
        <v>3</v>
      </c>
      <c r="I243" s="5">
        <v>1340</v>
      </c>
      <c r="J243" s="13">
        <v>413500</v>
      </c>
      <c r="K243" s="15">
        <f t="shared" si="3"/>
        <v>308.58208955223881</v>
      </c>
      <c r="L243" s="5" t="s">
        <v>53</v>
      </c>
      <c r="M243" s="5" t="s">
        <v>29</v>
      </c>
      <c r="N243" s="5" t="s">
        <v>18</v>
      </c>
      <c r="O243" s="5" t="s">
        <v>25</v>
      </c>
    </row>
    <row r="244" spans="1:15" s="4" customFormat="1">
      <c r="A244" s="4">
        <v>243</v>
      </c>
      <c r="B244" s="5" t="s">
        <v>151</v>
      </c>
      <c r="C244" s="3">
        <v>45708</v>
      </c>
      <c r="D244" s="5" t="s">
        <v>14</v>
      </c>
      <c r="E244" s="5" t="s">
        <v>82</v>
      </c>
      <c r="F244" s="5" t="s">
        <v>23</v>
      </c>
      <c r="G244" s="5">
        <v>4</v>
      </c>
      <c r="H244" s="5">
        <v>4</v>
      </c>
      <c r="I244" s="5">
        <v>1333</v>
      </c>
      <c r="J244" s="13">
        <v>789600</v>
      </c>
      <c r="K244" s="15">
        <f t="shared" si="3"/>
        <v>592.34808702175542</v>
      </c>
      <c r="L244" s="5" t="s">
        <v>24</v>
      </c>
      <c r="M244" s="5" t="s">
        <v>29</v>
      </c>
      <c r="N244" s="5" t="s">
        <v>30</v>
      </c>
      <c r="O244" s="5" t="s">
        <v>46</v>
      </c>
    </row>
    <row r="245" spans="1:15" s="4" customFormat="1">
      <c r="A245" s="4">
        <v>244</v>
      </c>
      <c r="B245" s="5" t="s">
        <v>450</v>
      </c>
      <c r="C245" s="3">
        <v>45996</v>
      </c>
      <c r="D245" s="5" t="s">
        <v>44</v>
      </c>
      <c r="E245" s="5" t="s">
        <v>65</v>
      </c>
      <c r="F245" s="5" t="s">
        <v>23</v>
      </c>
      <c r="G245" s="5">
        <v>2</v>
      </c>
      <c r="H245" s="5">
        <v>1</v>
      </c>
      <c r="I245" s="5">
        <v>1326</v>
      </c>
      <c r="J245" s="13">
        <v>629300</v>
      </c>
      <c r="K245" s="15">
        <f t="shared" si="3"/>
        <v>474.58521870286575</v>
      </c>
      <c r="L245" s="5" t="s">
        <v>53</v>
      </c>
      <c r="M245" s="5" t="s">
        <v>17</v>
      </c>
      <c r="N245" s="5" t="s">
        <v>41</v>
      </c>
      <c r="O245" s="5" t="s">
        <v>35</v>
      </c>
    </row>
    <row r="246" spans="1:15" s="4" customFormat="1">
      <c r="A246" s="4">
        <v>245</v>
      </c>
      <c r="B246" s="5" t="s">
        <v>189</v>
      </c>
      <c r="C246" s="3">
        <v>45698</v>
      </c>
      <c r="D246" s="5" t="s">
        <v>48</v>
      </c>
      <c r="E246" s="5" t="s">
        <v>49</v>
      </c>
      <c r="F246" s="5" t="s">
        <v>23</v>
      </c>
      <c r="G246" s="5">
        <v>3</v>
      </c>
      <c r="H246" s="5">
        <v>2</v>
      </c>
      <c r="I246" s="5">
        <v>1318</v>
      </c>
      <c r="J246" s="13">
        <v>914200</v>
      </c>
      <c r="K246" s="15">
        <f t="shared" si="3"/>
        <v>693.62670713201817</v>
      </c>
      <c r="L246" s="5" t="s">
        <v>53</v>
      </c>
      <c r="M246" s="5" t="s">
        <v>17</v>
      </c>
      <c r="N246" s="5" t="s">
        <v>41</v>
      </c>
      <c r="O246" s="5" t="s">
        <v>37</v>
      </c>
    </row>
    <row r="247" spans="1:15" s="4" customFormat="1">
      <c r="A247" s="4">
        <v>246</v>
      </c>
      <c r="B247" s="5" t="s">
        <v>384</v>
      </c>
      <c r="C247" s="3">
        <v>45847</v>
      </c>
      <c r="D247" s="5" t="s">
        <v>32</v>
      </c>
      <c r="E247" s="5" t="s">
        <v>112</v>
      </c>
      <c r="F247" s="5" t="s">
        <v>52</v>
      </c>
      <c r="G247" s="5">
        <v>3</v>
      </c>
      <c r="H247" s="5">
        <v>2</v>
      </c>
      <c r="I247" s="5">
        <v>1317</v>
      </c>
      <c r="J247" s="13">
        <v>408500</v>
      </c>
      <c r="K247" s="15">
        <f t="shared" si="3"/>
        <v>310.17463933181472</v>
      </c>
      <c r="L247" s="5" t="s">
        <v>53</v>
      </c>
      <c r="M247" s="5" t="s">
        <v>17</v>
      </c>
      <c r="N247" s="5" t="s">
        <v>18</v>
      </c>
      <c r="O247" s="5" t="s">
        <v>25</v>
      </c>
    </row>
    <row r="248" spans="1:15" s="4" customFormat="1">
      <c r="A248" s="4">
        <v>247</v>
      </c>
      <c r="B248" s="5" t="s">
        <v>239</v>
      </c>
      <c r="C248" s="3">
        <v>45878</v>
      </c>
      <c r="D248" s="5" t="s">
        <v>14</v>
      </c>
      <c r="E248" s="5" t="s">
        <v>129</v>
      </c>
      <c r="F248" s="5" t="s">
        <v>34</v>
      </c>
      <c r="G248" s="5">
        <v>3</v>
      </c>
      <c r="H248" s="5">
        <v>3</v>
      </c>
      <c r="I248" s="5">
        <v>1314</v>
      </c>
      <c r="J248" s="13">
        <v>897400</v>
      </c>
      <c r="K248" s="15">
        <f t="shared" si="3"/>
        <v>682.95281582952816</v>
      </c>
      <c r="L248" s="5" t="s">
        <v>53</v>
      </c>
      <c r="M248" s="5" t="s">
        <v>17</v>
      </c>
      <c r="N248" s="5" t="s">
        <v>41</v>
      </c>
      <c r="O248" s="5" t="s">
        <v>37</v>
      </c>
    </row>
    <row r="249" spans="1:15" s="4" customFormat="1">
      <c r="A249" s="4">
        <v>248</v>
      </c>
      <c r="B249" s="5" t="s">
        <v>261</v>
      </c>
      <c r="C249" s="3">
        <v>46018</v>
      </c>
      <c r="D249" s="5" t="s">
        <v>39</v>
      </c>
      <c r="E249" s="5" t="s">
        <v>40</v>
      </c>
      <c r="F249" s="5" t="s">
        <v>23</v>
      </c>
      <c r="G249" s="5">
        <v>3</v>
      </c>
      <c r="H249" s="5">
        <v>2</v>
      </c>
      <c r="I249" s="5">
        <v>1313</v>
      </c>
      <c r="J249" s="13">
        <v>748900</v>
      </c>
      <c r="K249" s="15">
        <f t="shared" si="3"/>
        <v>570.37319116527033</v>
      </c>
      <c r="L249" s="5" t="s">
        <v>53</v>
      </c>
      <c r="M249" s="5" t="s">
        <v>29</v>
      </c>
      <c r="N249" s="5" t="s">
        <v>41</v>
      </c>
      <c r="O249" s="5" t="s">
        <v>37</v>
      </c>
    </row>
    <row r="250" spans="1:15" s="4" customFormat="1">
      <c r="A250" s="4">
        <v>249</v>
      </c>
      <c r="B250" s="5" t="s">
        <v>380</v>
      </c>
      <c r="C250" s="3">
        <v>45878</v>
      </c>
      <c r="D250" s="5" t="s">
        <v>44</v>
      </c>
      <c r="E250" s="5" t="s">
        <v>65</v>
      </c>
      <c r="F250" s="5" t="s">
        <v>15</v>
      </c>
      <c r="G250" s="5">
        <v>2</v>
      </c>
      <c r="H250" s="5">
        <v>1</v>
      </c>
      <c r="I250" s="5">
        <v>1310</v>
      </c>
      <c r="J250" s="13">
        <v>588800</v>
      </c>
      <c r="K250" s="15">
        <f t="shared" si="3"/>
        <v>449.46564885496184</v>
      </c>
      <c r="L250" s="5" t="s">
        <v>24</v>
      </c>
      <c r="M250" s="5" t="s">
        <v>29</v>
      </c>
      <c r="N250" s="5" t="s">
        <v>41</v>
      </c>
      <c r="O250" s="5" t="s">
        <v>25</v>
      </c>
    </row>
    <row r="251" spans="1:15" s="4" customFormat="1">
      <c r="A251" s="4">
        <v>250</v>
      </c>
      <c r="B251" s="5" t="s">
        <v>443</v>
      </c>
      <c r="C251" s="3">
        <v>46021</v>
      </c>
      <c r="D251" s="5" t="s">
        <v>48</v>
      </c>
      <c r="E251" s="5" t="s">
        <v>58</v>
      </c>
      <c r="F251" s="5" t="s">
        <v>52</v>
      </c>
      <c r="G251" s="5">
        <v>3</v>
      </c>
      <c r="H251" s="5">
        <v>2</v>
      </c>
      <c r="I251" s="5">
        <v>1308</v>
      </c>
      <c r="J251" s="13">
        <v>764200</v>
      </c>
      <c r="K251" s="15">
        <f t="shared" si="3"/>
        <v>584.25076452599387</v>
      </c>
      <c r="L251" s="5" t="s">
        <v>53</v>
      </c>
      <c r="M251" s="5" t="s">
        <v>17</v>
      </c>
      <c r="N251" s="5" t="s">
        <v>30</v>
      </c>
      <c r="O251" s="5" t="s">
        <v>19</v>
      </c>
    </row>
    <row r="252" spans="1:15" s="4" customFormat="1">
      <c r="A252" s="4">
        <v>251</v>
      </c>
      <c r="B252" s="5" t="s">
        <v>313</v>
      </c>
      <c r="C252" s="3">
        <v>46018</v>
      </c>
      <c r="D252" s="5" t="s">
        <v>14</v>
      </c>
      <c r="E252" s="5" t="s">
        <v>56</v>
      </c>
      <c r="F252" s="5" t="s">
        <v>52</v>
      </c>
      <c r="G252" s="5">
        <v>3</v>
      </c>
      <c r="H252" s="5">
        <v>3</v>
      </c>
      <c r="I252" s="5">
        <v>1304</v>
      </c>
      <c r="J252" s="13">
        <v>741800</v>
      </c>
      <c r="K252" s="15">
        <f t="shared" si="3"/>
        <v>568.86503067484659</v>
      </c>
      <c r="L252" s="5" t="s">
        <v>16</v>
      </c>
      <c r="M252" s="5" t="s">
        <v>29</v>
      </c>
      <c r="N252" s="5" t="s">
        <v>30</v>
      </c>
      <c r="O252" s="5" t="s">
        <v>42</v>
      </c>
    </row>
    <row r="253" spans="1:15" s="4" customFormat="1">
      <c r="A253" s="4">
        <v>252</v>
      </c>
      <c r="B253" s="5" t="s">
        <v>71</v>
      </c>
      <c r="C253" s="3">
        <v>45939</v>
      </c>
      <c r="D253" s="5" t="s">
        <v>39</v>
      </c>
      <c r="E253" s="5" t="s">
        <v>72</v>
      </c>
      <c r="F253" s="5" t="s">
        <v>52</v>
      </c>
      <c r="G253" s="5">
        <v>2</v>
      </c>
      <c r="H253" s="5">
        <v>2</v>
      </c>
      <c r="I253" s="5">
        <v>1302.5</v>
      </c>
      <c r="J253" s="13">
        <v>300400</v>
      </c>
      <c r="K253" s="15">
        <f t="shared" si="3"/>
        <v>230.6333973128599</v>
      </c>
      <c r="L253" s="5" t="s">
        <v>16</v>
      </c>
      <c r="M253" s="5" t="s">
        <v>29</v>
      </c>
      <c r="N253" s="5" t="s">
        <v>41</v>
      </c>
      <c r="O253" s="5" t="s">
        <v>35</v>
      </c>
    </row>
    <row r="254" spans="1:15" s="4" customFormat="1">
      <c r="A254" s="4">
        <v>253</v>
      </c>
      <c r="B254" s="5" t="s">
        <v>349</v>
      </c>
      <c r="C254" s="3">
        <v>45821</v>
      </c>
      <c r="D254" s="5" t="s">
        <v>44</v>
      </c>
      <c r="E254" s="5" t="s">
        <v>65</v>
      </c>
      <c r="F254" s="5" t="s">
        <v>52</v>
      </c>
      <c r="G254" s="5">
        <v>2</v>
      </c>
      <c r="H254" s="5">
        <v>2</v>
      </c>
      <c r="I254" s="5">
        <v>1302.5</v>
      </c>
      <c r="J254" s="13">
        <v>398800</v>
      </c>
      <c r="K254" s="15">
        <f t="shared" si="3"/>
        <v>306.18042226487523</v>
      </c>
      <c r="L254" s="5" t="s">
        <v>53</v>
      </c>
      <c r="M254" s="5" t="s">
        <v>29</v>
      </c>
      <c r="N254" s="5" t="s">
        <v>41</v>
      </c>
      <c r="O254" s="5" t="s">
        <v>37</v>
      </c>
    </row>
    <row r="255" spans="1:15" s="4" customFormat="1">
      <c r="A255" s="4">
        <v>254</v>
      </c>
      <c r="B255" s="5" t="s">
        <v>57</v>
      </c>
      <c r="C255" s="3">
        <v>45890</v>
      </c>
      <c r="D255" s="5" t="s">
        <v>48</v>
      </c>
      <c r="E255" s="5" t="s">
        <v>58</v>
      </c>
      <c r="F255" s="5" t="s">
        <v>34</v>
      </c>
      <c r="G255" s="5">
        <v>1</v>
      </c>
      <c r="H255" s="5">
        <v>1</v>
      </c>
      <c r="I255" s="5">
        <v>1302.5</v>
      </c>
      <c r="J255" s="13">
        <v>469100</v>
      </c>
      <c r="K255" s="15">
        <f t="shared" si="3"/>
        <v>360.15355086372358</v>
      </c>
      <c r="L255" s="5" t="s">
        <v>16</v>
      </c>
      <c r="M255" s="5" t="s">
        <v>17</v>
      </c>
      <c r="N255" s="5" t="s">
        <v>41</v>
      </c>
      <c r="O255" s="5" t="s">
        <v>46</v>
      </c>
    </row>
    <row r="256" spans="1:15" s="4" customFormat="1">
      <c r="A256" s="4">
        <v>255</v>
      </c>
      <c r="B256" s="5" t="s">
        <v>426</v>
      </c>
      <c r="C256" s="3">
        <v>45739</v>
      </c>
      <c r="D256" s="5" t="s">
        <v>48</v>
      </c>
      <c r="E256" s="5" t="s">
        <v>61</v>
      </c>
      <c r="F256" s="5" t="s">
        <v>23</v>
      </c>
      <c r="G256" s="5">
        <v>1</v>
      </c>
      <c r="H256" s="5">
        <v>1</v>
      </c>
      <c r="I256" s="5">
        <v>1302.5</v>
      </c>
      <c r="J256" s="13">
        <v>506500</v>
      </c>
      <c r="K256" s="15">
        <f t="shared" si="3"/>
        <v>388.86756238003841</v>
      </c>
      <c r="L256" s="5" t="s">
        <v>16</v>
      </c>
      <c r="M256" s="5" t="s">
        <v>17</v>
      </c>
      <c r="N256" s="5" t="s">
        <v>41</v>
      </c>
      <c r="O256" s="5" t="s">
        <v>25</v>
      </c>
    </row>
    <row r="257" spans="1:15" s="4" customFormat="1">
      <c r="A257" s="4">
        <v>256</v>
      </c>
      <c r="B257" s="5" t="s">
        <v>534</v>
      </c>
      <c r="C257" s="3">
        <v>45882</v>
      </c>
      <c r="D257" s="5" t="s">
        <v>44</v>
      </c>
      <c r="E257" s="5" t="s">
        <v>65</v>
      </c>
      <c r="F257" s="5" t="s">
        <v>52</v>
      </c>
      <c r="G257" s="5">
        <v>2</v>
      </c>
      <c r="H257" s="5">
        <v>1</v>
      </c>
      <c r="I257" s="5">
        <v>1302.5</v>
      </c>
      <c r="J257" s="13">
        <v>531500</v>
      </c>
      <c r="K257" s="15">
        <f t="shared" si="3"/>
        <v>408.06142034548947</v>
      </c>
      <c r="L257" s="5" t="s">
        <v>24</v>
      </c>
      <c r="M257" s="5" t="s">
        <v>17</v>
      </c>
      <c r="N257" s="5" t="s">
        <v>41</v>
      </c>
      <c r="O257" s="5" t="s">
        <v>42</v>
      </c>
    </row>
    <row r="258" spans="1:15" s="4" customFormat="1">
      <c r="A258" s="4">
        <v>257</v>
      </c>
      <c r="B258" s="5" t="s">
        <v>188</v>
      </c>
      <c r="C258" s="3">
        <v>45893</v>
      </c>
      <c r="D258" s="5" t="s">
        <v>39</v>
      </c>
      <c r="E258" s="5" t="s">
        <v>40</v>
      </c>
      <c r="F258" s="5" t="s">
        <v>15</v>
      </c>
      <c r="G258" s="5">
        <v>3</v>
      </c>
      <c r="H258" s="5">
        <v>3</v>
      </c>
      <c r="I258" s="5">
        <v>1302.5</v>
      </c>
      <c r="J258" s="13">
        <v>883000</v>
      </c>
      <c r="K258" s="15">
        <f t="shared" ref="K258:K321" si="4">J258/I258</f>
        <v>677.92706333973126</v>
      </c>
      <c r="L258" s="5" t="s">
        <v>24</v>
      </c>
      <c r="M258" s="5" t="s">
        <v>17</v>
      </c>
      <c r="N258" s="5" t="s">
        <v>18</v>
      </c>
      <c r="O258" s="5" t="s">
        <v>25</v>
      </c>
    </row>
    <row r="259" spans="1:15" s="4" customFormat="1">
      <c r="A259" s="4">
        <v>258</v>
      </c>
      <c r="B259" s="5" t="s">
        <v>333</v>
      </c>
      <c r="C259" s="3">
        <v>45885</v>
      </c>
      <c r="D259" s="5" t="s">
        <v>39</v>
      </c>
      <c r="E259" s="5" t="s">
        <v>61</v>
      </c>
      <c r="F259" s="5" t="s">
        <v>23</v>
      </c>
      <c r="G259" s="5">
        <v>3</v>
      </c>
      <c r="H259" s="5">
        <v>3</v>
      </c>
      <c r="I259" s="5">
        <v>1302.5</v>
      </c>
      <c r="J259" s="13">
        <v>976300</v>
      </c>
      <c r="K259" s="15">
        <f t="shared" si="4"/>
        <v>749.55854126679458</v>
      </c>
      <c r="L259" s="5" t="s">
        <v>16</v>
      </c>
      <c r="M259" s="5" t="s">
        <v>29</v>
      </c>
      <c r="N259" s="5" t="s">
        <v>41</v>
      </c>
      <c r="O259" s="5" t="s">
        <v>37</v>
      </c>
    </row>
    <row r="260" spans="1:15" s="4" customFormat="1">
      <c r="A260" s="4">
        <v>259</v>
      </c>
      <c r="B260" s="5" t="s">
        <v>536</v>
      </c>
      <c r="C260" s="3">
        <v>45917</v>
      </c>
      <c r="D260" s="5" t="s">
        <v>44</v>
      </c>
      <c r="E260" s="5" t="s">
        <v>75</v>
      </c>
      <c r="F260" s="5" t="s">
        <v>34</v>
      </c>
      <c r="G260" s="5">
        <v>5</v>
      </c>
      <c r="H260" s="5">
        <v>5</v>
      </c>
      <c r="I260" s="5">
        <v>1302.5</v>
      </c>
      <c r="J260" s="13">
        <v>1035800</v>
      </c>
      <c r="K260" s="15">
        <f t="shared" si="4"/>
        <v>795.23992322456809</v>
      </c>
      <c r="L260" s="5" t="s">
        <v>53</v>
      </c>
      <c r="M260" s="5" t="s">
        <v>29</v>
      </c>
      <c r="N260" s="5" t="s">
        <v>18</v>
      </c>
      <c r="O260" s="5" t="s">
        <v>35</v>
      </c>
    </row>
    <row r="261" spans="1:15" s="4" customFormat="1">
      <c r="A261" s="4">
        <v>260</v>
      </c>
      <c r="B261" s="5" t="s">
        <v>230</v>
      </c>
      <c r="C261" s="3">
        <v>45773</v>
      </c>
      <c r="D261" s="5" t="s">
        <v>27</v>
      </c>
      <c r="E261" s="5" t="s">
        <v>56</v>
      </c>
      <c r="F261" s="5" t="s">
        <v>15</v>
      </c>
      <c r="G261" s="5">
        <v>3</v>
      </c>
      <c r="H261" s="5">
        <v>3</v>
      </c>
      <c r="I261" s="5">
        <v>1301</v>
      </c>
      <c r="J261" s="13">
        <v>1031300</v>
      </c>
      <c r="K261" s="15">
        <f t="shared" si="4"/>
        <v>792.6979246733282</v>
      </c>
      <c r="L261" s="5" t="s">
        <v>53</v>
      </c>
      <c r="M261" s="5" t="s">
        <v>17</v>
      </c>
      <c r="N261" s="5" t="s">
        <v>18</v>
      </c>
      <c r="O261" s="5" t="s">
        <v>37</v>
      </c>
    </row>
    <row r="262" spans="1:15" s="4" customFormat="1">
      <c r="A262" s="4">
        <v>261</v>
      </c>
      <c r="B262" s="5" t="s">
        <v>455</v>
      </c>
      <c r="C262" s="3">
        <v>45743</v>
      </c>
      <c r="D262" s="5" t="s">
        <v>32</v>
      </c>
      <c r="E262" s="5" t="s">
        <v>77</v>
      </c>
      <c r="F262" s="5" t="s">
        <v>34</v>
      </c>
      <c r="G262" s="5">
        <v>3</v>
      </c>
      <c r="H262" s="5">
        <v>3</v>
      </c>
      <c r="I262" s="5">
        <v>1300</v>
      </c>
      <c r="J262" s="13">
        <v>496200</v>
      </c>
      <c r="K262" s="15">
        <f t="shared" si="4"/>
        <v>381.69230769230768</v>
      </c>
      <c r="L262" s="5" t="s">
        <v>24</v>
      </c>
      <c r="M262" s="5" t="s">
        <v>29</v>
      </c>
      <c r="N262" s="5" t="s">
        <v>41</v>
      </c>
      <c r="O262" s="5" t="s">
        <v>19</v>
      </c>
    </row>
    <row r="263" spans="1:15" s="4" customFormat="1">
      <c r="A263" s="4">
        <v>262</v>
      </c>
      <c r="B263" s="5" t="s">
        <v>113</v>
      </c>
      <c r="C263" s="3">
        <v>45894</v>
      </c>
      <c r="D263" s="5" t="s">
        <v>27</v>
      </c>
      <c r="E263" s="5" t="s">
        <v>56</v>
      </c>
      <c r="F263" s="5" t="s">
        <v>52</v>
      </c>
      <c r="G263" s="5">
        <v>3</v>
      </c>
      <c r="H263" s="5">
        <v>2</v>
      </c>
      <c r="I263" s="5">
        <v>1297</v>
      </c>
      <c r="J263" s="13">
        <v>949200</v>
      </c>
      <c r="K263" s="15">
        <f t="shared" si="4"/>
        <v>731.8427139552814</v>
      </c>
      <c r="L263" s="5" t="s">
        <v>16</v>
      </c>
      <c r="M263" s="5" t="s">
        <v>29</v>
      </c>
      <c r="N263" s="5" t="s">
        <v>30</v>
      </c>
      <c r="O263" s="5" t="s">
        <v>25</v>
      </c>
    </row>
    <row r="264" spans="1:15" s="4" customFormat="1">
      <c r="A264" s="4">
        <v>263</v>
      </c>
      <c r="B264" s="5" t="s">
        <v>541</v>
      </c>
      <c r="C264" s="3">
        <v>45870</v>
      </c>
      <c r="D264" s="5" t="s">
        <v>48</v>
      </c>
      <c r="E264" s="5" t="s">
        <v>49</v>
      </c>
      <c r="F264" s="5" t="s">
        <v>34</v>
      </c>
      <c r="G264" s="5">
        <v>3</v>
      </c>
      <c r="H264" s="5">
        <v>2</v>
      </c>
      <c r="I264" s="5">
        <v>1292</v>
      </c>
      <c r="J264" s="13">
        <v>1066000</v>
      </c>
      <c r="K264" s="15">
        <f t="shared" si="4"/>
        <v>825.07739938080499</v>
      </c>
      <c r="L264" s="5" t="s">
        <v>53</v>
      </c>
      <c r="M264" s="5" t="s">
        <v>29</v>
      </c>
      <c r="N264" s="5" t="s">
        <v>41</v>
      </c>
      <c r="O264" s="5" t="s">
        <v>37</v>
      </c>
    </row>
    <row r="265" spans="1:15" s="4" customFormat="1">
      <c r="A265" s="4">
        <v>264</v>
      </c>
      <c r="B265" s="5" t="s">
        <v>273</v>
      </c>
      <c r="C265" s="3">
        <v>45924</v>
      </c>
      <c r="D265" s="5" t="s">
        <v>32</v>
      </c>
      <c r="E265" s="5" t="s">
        <v>33</v>
      </c>
      <c r="F265" s="5" t="s">
        <v>23</v>
      </c>
      <c r="G265" s="5">
        <v>2</v>
      </c>
      <c r="H265" s="5">
        <v>2</v>
      </c>
      <c r="I265" s="5">
        <v>1284</v>
      </c>
      <c r="J265" s="13">
        <v>476800</v>
      </c>
      <c r="K265" s="15">
        <f t="shared" si="4"/>
        <v>371.33956386292834</v>
      </c>
      <c r="L265" s="5" t="s">
        <v>16</v>
      </c>
      <c r="M265" s="5" t="s">
        <v>17</v>
      </c>
      <c r="N265" s="5" t="s">
        <v>30</v>
      </c>
      <c r="O265" s="5" t="s">
        <v>37</v>
      </c>
    </row>
    <row r="266" spans="1:15" s="4" customFormat="1">
      <c r="A266" s="4">
        <v>265</v>
      </c>
      <c r="B266" s="5" t="s">
        <v>43</v>
      </c>
      <c r="C266" s="3">
        <v>45770</v>
      </c>
      <c r="D266" s="5" t="s">
        <v>44</v>
      </c>
      <c r="E266" s="5" t="s">
        <v>45</v>
      </c>
      <c r="F266" s="5" t="s">
        <v>23</v>
      </c>
      <c r="G266" s="5">
        <v>3</v>
      </c>
      <c r="H266" s="5">
        <v>3</v>
      </c>
      <c r="I266" s="5">
        <v>1280</v>
      </c>
      <c r="J266" s="13">
        <v>618800</v>
      </c>
      <c r="K266" s="15">
        <f t="shared" si="4"/>
        <v>483.4375</v>
      </c>
      <c r="L266" s="5" t="s">
        <v>24</v>
      </c>
      <c r="M266" s="5" t="s">
        <v>17</v>
      </c>
      <c r="N266" s="5" t="s">
        <v>18</v>
      </c>
      <c r="O266" s="5" t="s">
        <v>46</v>
      </c>
    </row>
    <row r="267" spans="1:15" s="4" customFormat="1">
      <c r="A267" s="4">
        <v>266</v>
      </c>
      <c r="B267" s="5" t="s">
        <v>530</v>
      </c>
      <c r="C267" s="3">
        <v>45999</v>
      </c>
      <c r="D267" s="5" t="s">
        <v>21</v>
      </c>
      <c r="E267" s="5" t="s">
        <v>84</v>
      </c>
      <c r="F267" s="5" t="s">
        <v>34</v>
      </c>
      <c r="G267" s="5">
        <v>3</v>
      </c>
      <c r="H267" s="5">
        <v>2</v>
      </c>
      <c r="I267" s="5">
        <v>1280</v>
      </c>
      <c r="J267" s="13">
        <v>1217600</v>
      </c>
      <c r="K267" s="15">
        <f t="shared" si="4"/>
        <v>951.25</v>
      </c>
      <c r="L267" s="5" t="s">
        <v>16</v>
      </c>
      <c r="M267" s="5" t="s">
        <v>29</v>
      </c>
      <c r="N267" s="5" t="s">
        <v>18</v>
      </c>
      <c r="O267" s="5" t="s">
        <v>42</v>
      </c>
    </row>
    <row r="268" spans="1:15" s="4" customFormat="1">
      <c r="A268" s="4">
        <v>267</v>
      </c>
      <c r="B268" s="5" t="s">
        <v>199</v>
      </c>
      <c r="C268" s="3">
        <v>45816</v>
      </c>
      <c r="D268" s="5" t="s">
        <v>14</v>
      </c>
      <c r="E268" s="5" t="s">
        <v>129</v>
      </c>
      <c r="F268" s="5" t="s">
        <v>23</v>
      </c>
      <c r="G268" s="5">
        <v>3</v>
      </c>
      <c r="H268" s="5">
        <v>2</v>
      </c>
      <c r="I268" s="5">
        <v>1276</v>
      </c>
      <c r="J268" s="13">
        <v>858900</v>
      </c>
      <c r="K268" s="15">
        <f t="shared" si="4"/>
        <v>673.11912225705328</v>
      </c>
      <c r="L268" s="5" t="s">
        <v>24</v>
      </c>
      <c r="M268" s="5" t="s">
        <v>17</v>
      </c>
      <c r="N268" s="5" t="s">
        <v>41</v>
      </c>
      <c r="O268" s="5" t="s">
        <v>37</v>
      </c>
    </row>
    <row r="269" spans="1:15" s="4" customFormat="1">
      <c r="A269" s="4">
        <v>268</v>
      </c>
      <c r="B269" s="5" t="s">
        <v>80</v>
      </c>
      <c r="C269" s="3">
        <v>45925</v>
      </c>
      <c r="D269" s="5" t="s">
        <v>27</v>
      </c>
      <c r="E269" s="5" t="s">
        <v>56</v>
      </c>
      <c r="F269" s="5" t="s">
        <v>15</v>
      </c>
      <c r="G269" s="5">
        <v>3</v>
      </c>
      <c r="H269" s="5">
        <v>2</v>
      </c>
      <c r="I269" s="5">
        <v>1276</v>
      </c>
      <c r="J269" s="13">
        <v>926800</v>
      </c>
      <c r="K269" s="15">
        <f t="shared" si="4"/>
        <v>726.33228840125389</v>
      </c>
      <c r="L269" s="5" t="s">
        <v>53</v>
      </c>
      <c r="M269" s="5" t="s">
        <v>17</v>
      </c>
      <c r="N269" s="5" t="s">
        <v>18</v>
      </c>
      <c r="O269" s="5" t="s">
        <v>42</v>
      </c>
    </row>
    <row r="270" spans="1:15" s="4" customFormat="1">
      <c r="A270" s="4">
        <v>269</v>
      </c>
      <c r="B270" s="5" t="s">
        <v>184</v>
      </c>
      <c r="C270" s="3">
        <v>45999</v>
      </c>
      <c r="D270" s="5" t="s">
        <v>48</v>
      </c>
      <c r="E270" s="5" t="s">
        <v>49</v>
      </c>
      <c r="F270" s="5" t="s">
        <v>34</v>
      </c>
      <c r="G270" s="5">
        <v>3</v>
      </c>
      <c r="H270" s="5">
        <v>3</v>
      </c>
      <c r="I270" s="5">
        <v>1274</v>
      </c>
      <c r="J270" s="13">
        <v>938000</v>
      </c>
      <c r="K270" s="15">
        <f t="shared" si="4"/>
        <v>736.26373626373629</v>
      </c>
      <c r="L270" s="5" t="s">
        <v>53</v>
      </c>
      <c r="M270" s="5" t="s">
        <v>29</v>
      </c>
      <c r="N270" s="5" t="s">
        <v>18</v>
      </c>
      <c r="O270" s="5" t="s">
        <v>25</v>
      </c>
    </row>
    <row r="271" spans="1:15" s="4" customFormat="1">
      <c r="A271" s="4">
        <v>270</v>
      </c>
      <c r="B271" s="5" t="s">
        <v>427</v>
      </c>
      <c r="C271" s="3">
        <v>45971</v>
      </c>
      <c r="D271" s="5" t="s">
        <v>48</v>
      </c>
      <c r="E271" s="5" t="s">
        <v>61</v>
      </c>
      <c r="F271" s="5" t="s">
        <v>23</v>
      </c>
      <c r="G271" s="5">
        <v>3</v>
      </c>
      <c r="H271" s="5">
        <v>3</v>
      </c>
      <c r="I271" s="5">
        <v>1270</v>
      </c>
      <c r="J271" s="13">
        <v>972100</v>
      </c>
      <c r="K271" s="15">
        <f t="shared" si="4"/>
        <v>765.43307086614175</v>
      </c>
      <c r="L271" s="5" t="s">
        <v>16</v>
      </c>
      <c r="M271" s="5" t="s">
        <v>29</v>
      </c>
      <c r="N271" s="5" t="s">
        <v>30</v>
      </c>
      <c r="O271" s="5" t="s">
        <v>25</v>
      </c>
    </row>
    <row r="272" spans="1:15" s="4" customFormat="1">
      <c r="A272" s="4">
        <v>271</v>
      </c>
      <c r="B272" s="5" t="s">
        <v>446</v>
      </c>
      <c r="C272" s="3">
        <v>45856</v>
      </c>
      <c r="D272" s="5" t="s">
        <v>27</v>
      </c>
      <c r="E272" s="5" t="s">
        <v>69</v>
      </c>
      <c r="F272" s="5" t="s">
        <v>23</v>
      </c>
      <c r="G272" s="5">
        <v>3</v>
      </c>
      <c r="H272" s="5">
        <v>2</v>
      </c>
      <c r="I272" s="5">
        <v>1265</v>
      </c>
      <c r="J272" s="13">
        <v>1080800</v>
      </c>
      <c r="K272" s="15">
        <f t="shared" si="4"/>
        <v>854.38735177865613</v>
      </c>
      <c r="L272" s="5" t="s">
        <v>53</v>
      </c>
      <c r="M272" s="5" t="s">
        <v>17</v>
      </c>
      <c r="N272" s="5" t="s">
        <v>41</v>
      </c>
      <c r="O272" s="5" t="s">
        <v>19</v>
      </c>
    </row>
    <row r="273" spans="1:15" s="4" customFormat="1">
      <c r="A273" s="4">
        <v>272</v>
      </c>
      <c r="B273" s="5" t="s">
        <v>122</v>
      </c>
      <c r="C273" s="3">
        <v>45790</v>
      </c>
      <c r="D273" s="5" t="s">
        <v>39</v>
      </c>
      <c r="E273" s="5" t="s">
        <v>40</v>
      </c>
      <c r="F273" s="5" t="s">
        <v>23</v>
      </c>
      <c r="G273" s="5">
        <v>3</v>
      </c>
      <c r="H273" s="5">
        <v>3</v>
      </c>
      <c r="I273" s="5">
        <v>1259</v>
      </c>
      <c r="J273" s="13">
        <v>689900</v>
      </c>
      <c r="K273" s="15">
        <f t="shared" si="4"/>
        <v>547.97458300238281</v>
      </c>
      <c r="L273" s="5" t="s">
        <v>53</v>
      </c>
      <c r="M273" s="5" t="s">
        <v>17</v>
      </c>
      <c r="N273" s="5" t="s">
        <v>41</v>
      </c>
      <c r="O273" s="5" t="s">
        <v>42</v>
      </c>
    </row>
    <row r="274" spans="1:15" s="4" customFormat="1">
      <c r="A274" s="4">
        <v>273</v>
      </c>
      <c r="B274" s="5" t="s">
        <v>265</v>
      </c>
      <c r="C274" s="3">
        <v>45890</v>
      </c>
      <c r="D274" s="5" t="s">
        <v>44</v>
      </c>
      <c r="E274" s="5" t="s">
        <v>75</v>
      </c>
      <c r="F274" s="5" t="s">
        <v>15</v>
      </c>
      <c r="G274" s="5">
        <v>3</v>
      </c>
      <c r="H274" s="5">
        <v>3</v>
      </c>
      <c r="I274" s="5">
        <v>1256</v>
      </c>
      <c r="J274" s="13">
        <v>579400</v>
      </c>
      <c r="K274" s="15">
        <f t="shared" si="4"/>
        <v>461.30573248407643</v>
      </c>
      <c r="L274" s="5" t="s">
        <v>16</v>
      </c>
      <c r="M274" s="5" t="s">
        <v>17</v>
      </c>
      <c r="N274" s="5" t="s">
        <v>30</v>
      </c>
      <c r="O274" s="5" t="s">
        <v>35</v>
      </c>
    </row>
    <row r="275" spans="1:15" s="4" customFormat="1">
      <c r="A275" s="4">
        <v>274</v>
      </c>
      <c r="B275" s="5" t="s">
        <v>66</v>
      </c>
      <c r="C275" s="3">
        <v>45906</v>
      </c>
      <c r="D275" s="5" t="s">
        <v>21</v>
      </c>
      <c r="E275" s="5" t="s">
        <v>67</v>
      </c>
      <c r="F275" s="5" t="s">
        <v>15</v>
      </c>
      <c r="G275" s="5">
        <v>3</v>
      </c>
      <c r="H275" s="5">
        <v>3</v>
      </c>
      <c r="I275" s="5">
        <v>1242</v>
      </c>
      <c r="J275" s="13">
        <v>1127000</v>
      </c>
      <c r="K275" s="15">
        <f t="shared" si="4"/>
        <v>907.40740740740739</v>
      </c>
      <c r="L275" s="5" t="s">
        <v>16</v>
      </c>
      <c r="M275" s="5" t="s">
        <v>29</v>
      </c>
      <c r="N275" s="5" t="s">
        <v>41</v>
      </c>
      <c r="O275" s="5" t="s">
        <v>35</v>
      </c>
    </row>
    <row r="276" spans="1:15" s="4" customFormat="1">
      <c r="A276" s="4">
        <v>275</v>
      </c>
      <c r="B276" s="5" t="s">
        <v>195</v>
      </c>
      <c r="C276" s="3">
        <v>45833</v>
      </c>
      <c r="D276" s="5" t="s">
        <v>39</v>
      </c>
      <c r="E276" s="5" t="s">
        <v>72</v>
      </c>
      <c r="F276" s="5" t="s">
        <v>15</v>
      </c>
      <c r="G276" s="5">
        <v>3</v>
      </c>
      <c r="H276" s="5">
        <v>3</v>
      </c>
      <c r="I276" s="5">
        <v>1237</v>
      </c>
      <c r="J276" s="13">
        <v>706900</v>
      </c>
      <c r="K276" s="15">
        <f t="shared" si="4"/>
        <v>571.46321746160061</v>
      </c>
      <c r="L276" s="5" t="s">
        <v>24</v>
      </c>
      <c r="M276" s="5" t="s">
        <v>29</v>
      </c>
      <c r="N276" s="5" t="s">
        <v>41</v>
      </c>
      <c r="O276" s="5" t="s">
        <v>42</v>
      </c>
    </row>
    <row r="277" spans="1:15" s="4" customFormat="1">
      <c r="A277" s="4">
        <v>276</v>
      </c>
      <c r="B277" s="5" t="s">
        <v>339</v>
      </c>
      <c r="C277" s="3">
        <v>45984</v>
      </c>
      <c r="D277" s="5" t="s">
        <v>21</v>
      </c>
      <c r="E277" s="5" t="s">
        <v>22</v>
      </c>
      <c r="F277" s="5" t="s">
        <v>52</v>
      </c>
      <c r="G277" s="5">
        <v>3</v>
      </c>
      <c r="H277" s="5">
        <v>3</v>
      </c>
      <c r="I277" s="5">
        <v>1234</v>
      </c>
      <c r="J277" s="13">
        <v>1163300</v>
      </c>
      <c r="K277" s="15">
        <f t="shared" si="4"/>
        <v>942.70664505672607</v>
      </c>
      <c r="L277" s="5" t="s">
        <v>24</v>
      </c>
      <c r="M277" s="5" t="s">
        <v>29</v>
      </c>
      <c r="N277" s="5" t="s">
        <v>41</v>
      </c>
      <c r="O277" s="5" t="s">
        <v>19</v>
      </c>
    </row>
    <row r="278" spans="1:15" s="4" customFormat="1">
      <c r="A278" s="4">
        <v>277</v>
      </c>
      <c r="B278" s="5" t="s">
        <v>373</v>
      </c>
      <c r="C278" s="3">
        <v>45907</v>
      </c>
      <c r="D278" s="5" t="s">
        <v>32</v>
      </c>
      <c r="E278" s="5" t="s">
        <v>77</v>
      </c>
      <c r="F278" s="5" t="s">
        <v>23</v>
      </c>
      <c r="G278" s="5">
        <v>4</v>
      </c>
      <c r="H278" s="5">
        <v>4</v>
      </c>
      <c r="I278" s="5">
        <v>1232</v>
      </c>
      <c r="J278" s="13">
        <v>436600</v>
      </c>
      <c r="K278" s="15">
        <f t="shared" si="4"/>
        <v>354.38311688311688</v>
      </c>
      <c r="L278" s="5" t="s">
        <v>24</v>
      </c>
      <c r="M278" s="5" t="s">
        <v>17</v>
      </c>
      <c r="N278" s="5" t="s">
        <v>18</v>
      </c>
      <c r="O278" s="5" t="s">
        <v>42</v>
      </c>
    </row>
    <row r="279" spans="1:15" s="4" customFormat="1">
      <c r="A279" s="4">
        <v>278</v>
      </c>
      <c r="B279" s="5" t="s">
        <v>120</v>
      </c>
      <c r="C279" s="3">
        <v>45991</v>
      </c>
      <c r="D279" s="5" t="s">
        <v>14</v>
      </c>
      <c r="E279" s="5" t="s">
        <v>56</v>
      </c>
      <c r="F279" s="5" t="s">
        <v>52</v>
      </c>
      <c r="G279" s="5">
        <v>2</v>
      </c>
      <c r="H279" s="5">
        <v>1</v>
      </c>
      <c r="I279" s="5">
        <v>1229</v>
      </c>
      <c r="J279" s="13">
        <v>724600</v>
      </c>
      <c r="K279" s="15">
        <f t="shared" si="4"/>
        <v>589.58502847843772</v>
      </c>
      <c r="L279" s="5" t="s">
        <v>53</v>
      </c>
      <c r="M279" s="5" t="s">
        <v>17</v>
      </c>
      <c r="N279" s="5" t="s">
        <v>30</v>
      </c>
      <c r="O279" s="5" t="s">
        <v>25</v>
      </c>
    </row>
    <row r="280" spans="1:15" s="4" customFormat="1">
      <c r="A280" s="4">
        <v>279</v>
      </c>
      <c r="B280" s="5" t="s">
        <v>285</v>
      </c>
      <c r="C280" s="3">
        <v>45974</v>
      </c>
      <c r="D280" s="5" t="s">
        <v>44</v>
      </c>
      <c r="E280" s="5" t="s">
        <v>65</v>
      </c>
      <c r="F280" s="5" t="s">
        <v>23</v>
      </c>
      <c r="G280" s="5">
        <v>3</v>
      </c>
      <c r="H280" s="5">
        <v>3</v>
      </c>
      <c r="I280" s="5">
        <v>1228</v>
      </c>
      <c r="J280" s="13">
        <v>546300</v>
      </c>
      <c r="K280" s="15">
        <f t="shared" si="4"/>
        <v>444.8697068403909</v>
      </c>
      <c r="L280" s="5" t="s">
        <v>24</v>
      </c>
      <c r="M280" s="5" t="s">
        <v>17</v>
      </c>
      <c r="N280" s="5" t="s">
        <v>41</v>
      </c>
      <c r="O280" s="5" t="s">
        <v>25</v>
      </c>
    </row>
    <row r="281" spans="1:15" s="4" customFormat="1">
      <c r="A281" s="4">
        <v>280</v>
      </c>
      <c r="B281" s="5" t="s">
        <v>507</v>
      </c>
      <c r="C281" s="3">
        <v>45848</v>
      </c>
      <c r="D281" s="5" t="s">
        <v>32</v>
      </c>
      <c r="E281" s="5" t="s">
        <v>77</v>
      </c>
      <c r="F281" s="5" t="s">
        <v>52</v>
      </c>
      <c r="G281" s="5">
        <v>3</v>
      </c>
      <c r="H281" s="5">
        <v>3</v>
      </c>
      <c r="I281" s="5">
        <v>1227</v>
      </c>
      <c r="J281" s="13">
        <v>383900</v>
      </c>
      <c r="K281" s="15">
        <f t="shared" si="4"/>
        <v>312.87693561532194</v>
      </c>
      <c r="L281" s="5" t="s">
        <v>53</v>
      </c>
      <c r="M281" s="5" t="s">
        <v>17</v>
      </c>
      <c r="N281" s="5" t="s">
        <v>30</v>
      </c>
      <c r="O281" s="5" t="s">
        <v>25</v>
      </c>
    </row>
    <row r="282" spans="1:15" s="4" customFormat="1">
      <c r="A282" s="4">
        <v>281</v>
      </c>
      <c r="B282" s="5" t="s">
        <v>280</v>
      </c>
      <c r="C282" s="3">
        <v>45912</v>
      </c>
      <c r="D282" s="5" t="s">
        <v>48</v>
      </c>
      <c r="E282" s="5" t="s">
        <v>58</v>
      </c>
      <c r="F282" s="5" t="s">
        <v>52</v>
      </c>
      <c r="G282" s="5">
        <v>3</v>
      </c>
      <c r="H282" s="5">
        <v>2</v>
      </c>
      <c r="I282" s="5">
        <v>1225</v>
      </c>
      <c r="J282" s="13">
        <v>816900</v>
      </c>
      <c r="K282" s="15">
        <f t="shared" si="4"/>
        <v>666.85714285714289</v>
      </c>
      <c r="L282" s="5" t="s">
        <v>53</v>
      </c>
      <c r="M282" s="5" t="s">
        <v>29</v>
      </c>
      <c r="N282" s="5" t="s">
        <v>41</v>
      </c>
      <c r="O282" s="5" t="s">
        <v>25</v>
      </c>
    </row>
    <row r="283" spans="1:15" s="4" customFormat="1">
      <c r="A283" s="4">
        <v>282</v>
      </c>
      <c r="B283" s="5" t="s">
        <v>228</v>
      </c>
      <c r="C283" s="3">
        <v>45867</v>
      </c>
      <c r="D283" s="5" t="s">
        <v>44</v>
      </c>
      <c r="E283" s="5" t="s">
        <v>65</v>
      </c>
      <c r="F283" s="5" t="s">
        <v>15</v>
      </c>
      <c r="G283" s="5">
        <v>2</v>
      </c>
      <c r="H283" s="5">
        <v>2</v>
      </c>
      <c r="I283" s="5">
        <v>1222</v>
      </c>
      <c r="J283" s="13">
        <v>524500</v>
      </c>
      <c r="K283" s="15">
        <f t="shared" si="4"/>
        <v>429.21440261865791</v>
      </c>
      <c r="L283" s="5" t="s">
        <v>24</v>
      </c>
      <c r="M283" s="5" t="s">
        <v>29</v>
      </c>
      <c r="N283" s="5" t="s">
        <v>18</v>
      </c>
      <c r="O283" s="5" t="s">
        <v>37</v>
      </c>
    </row>
    <row r="284" spans="1:15" s="4" customFormat="1">
      <c r="A284" s="4">
        <v>283</v>
      </c>
      <c r="B284" s="5" t="s">
        <v>332</v>
      </c>
      <c r="C284" s="3">
        <v>45993</v>
      </c>
      <c r="D284" s="5" t="s">
        <v>14</v>
      </c>
      <c r="E284" s="5" t="s">
        <v>56</v>
      </c>
      <c r="F284" s="5" t="s">
        <v>15</v>
      </c>
      <c r="G284" s="5">
        <v>3</v>
      </c>
      <c r="H284" s="5">
        <v>2</v>
      </c>
      <c r="I284" s="5">
        <v>1221</v>
      </c>
      <c r="J284" s="13">
        <v>633400</v>
      </c>
      <c r="K284" s="15">
        <f t="shared" si="4"/>
        <v>518.7551187551187</v>
      </c>
      <c r="L284" s="5" t="s">
        <v>16</v>
      </c>
      <c r="M284" s="5" t="s">
        <v>29</v>
      </c>
      <c r="N284" s="5" t="s">
        <v>18</v>
      </c>
      <c r="O284" s="5" t="s">
        <v>46</v>
      </c>
    </row>
    <row r="285" spans="1:15" s="4" customFormat="1">
      <c r="A285" s="4">
        <v>284</v>
      </c>
      <c r="B285" s="5" t="s">
        <v>466</v>
      </c>
      <c r="C285" s="3">
        <v>45660</v>
      </c>
      <c r="D285" s="5" t="s">
        <v>27</v>
      </c>
      <c r="E285" s="5" t="s">
        <v>28</v>
      </c>
      <c r="F285" s="5" t="s">
        <v>23</v>
      </c>
      <c r="G285" s="5">
        <v>3</v>
      </c>
      <c r="H285" s="5">
        <v>2</v>
      </c>
      <c r="I285" s="5">
        <v>1210</v>
      </c>
      <c r="J285" s="13">
        <v>910800</v>
      </c>
      <c r="K285" s="15">
        <f t="shared" si="4"/>
        <v>752.72727272727275</v>
      </c>
      <c r="L285" s="5" t="s">
        <v>53</v>
      </c>
      <c r="M285" s="5" t="s">
        <v>29</v>
      </c>
      <c r="N285" s="5" t="s">
        <v>18</v>
      </c>
      <c r="O285" s="5" t="s">
        <v>42</v>
      </c>
    </row>
    <row r="286" spans="1:15" s="4" customFormat="1">
      <c r="A286" s="4">
        <v>285</v>
      </c>
      <c r="B286" s="5" t="s">
        <v>300</v>
      </c>
      <c r="C286" s="3">
        <v>45973</v>
      </c>
      <c r="D286" s="5" t="s">
        <v>32</v>
      </c>
      <c r="E286" s="5" t="s">
        <v>112</v>
      </c>
      <c r="F286" s="5" t="s">
        <v>15</v>
      </c>
      <c r="G286" s="5">
        <v>2</v>
      </c>
      <c r="H286" s="5">
        <v>2</v>
      </c>
      <c r="I286" s="5">
        <v>1206</v>
      </c>
      <c r="J286" s="13">
        <v>366800</v>
      </c>
      <c r="K286" s="15">
        <f t="shared" si="4"/>
        <v>304.14593698175787</v>
      </c>
      <c r="L286" s="5" t="s">
        <v>16</v>
      </c>
      <c r="M286" s="5" t="s">
        <v>17</v>
      </c>
      <c r="N286" s="5" t="s">
        <v>18</v>
      </c>
      <c r="O286" s="5" t="s">
        <v>46</v>
      </c>
    </row>
    <row r="287" spans="1:15" s="4" customFormat="1">
      <c r="A287" s="4">
        <v>286</v>
      </c>
      <c r="B287" s="5" t="s">
        <v>185</v>
      </c>
      <c r="C287" s="3">
        <v>45728</v>
      </c>
      <c r="D287" s="5" t="s">
        <v>27</v>
      </c>
      <c r="E287" s="5" t="s">
        <v>56</v>
      </c>
      <c r="F287" s="5" t="s">
        <v>15</v>
      </c>
      <c r="G287" s="5">
        <v>2</v>
      </c>
      <c r="H287" s="5">
        <v>2</v>
      </c>
      <c r="I287" s="5">
        <v>1202</v>
      </c>
      <c r="J287" s="13">
        <v>955200</v>
      </c>
      <c r="K287" s="15">
        <f t="shared" si="4"/>
        <v>794.67554076539102</v>
      </c>
      <c r="L287" s="5" t="s">
        <v>53</v>
      </c>
      <c r="M287" s="5" t="s">
        <v>17</v>
      </c>
      <c r="N287" s="5" t="s">
        <v>30</v>
      </c>
      <c r="O287" s="5" t="s">
        <v>19</v>
      </c>
    </row>
    <row r="288" spans="1:15" s="4" customFormat="1">
      <c r="A288" s="4">
        <v>287</v>
      </c>
      <c r="B288" s="5" t="s">
        <v>139</v>
      </c>
      <c r="C288" s="3">
        <v>45822</v>
      </c>
      <c r="D288" s="5" t="s">
        <v>14</v>
      </c>
      <c r="E288" s="5" t="s">
        <v>129</v>
      </c>
      <c r="F288" s="5" t="s">
        <v>15</v>
      </c>
      <c r="G288" s="5">
        <v>3</v>
      </c>
      <c r="H288" s="5">
        <v>3</v>
      </c>
      <c r="I288" s="5">
        <v>1199</v>
      </c>
      <c r="J288" s="13">
        <v>653000</v>
      </c>
      <c r="K288" s="15">
        <f t="shared" si="4"/>
        <v>544.62051709758134</v>
      </c>
      <c r="L288" s="5" t="s">
        <v>24</v>
      </c>
      <c r="M288" s="5" t="s">
        <v>29</v>
      </c>
      <c r="N288" s="5" t="s">
        <v>18</v>
      </c>
      <c r="O288" s="5" t="s">
        <v>37</v>
      </c>
    </row>
    <row r="289" spans="1:15" s="4" customFormat="1">
      <c r="A289" s="4">
        <v>288</v>
      </c>
      <c r="B289" s="5" t="s">
        <v>217</v>
      </c>
      <c r="C289" s="3">
        <v>45855</v>
      </c>
      <c r="D289" s="5" t="s">
        <v>48</v>
      </c>
      <c r="E289" s="5" t="s">
        <v>58</v>
      </c>
      <c r="F289" s="5" t="s">
        <v>52</v>
      </c>
      <c r="G289" s="5">
        <v>3</v>
      </c>
      <c r="H289" s="5">
        <v>2</v>
      </c>
      <c r="I289" s="5">
        <v>1191</v>
      </c>
      <c r="J289" s="13">
        <v>811800</v>
      </c>
      <c r="K289" s="15">
        <f t="shared" si="4"/>
        <v>681.61209068010078</v>
      </c>
      <c r="L289" s="5" t="s">
        <v>53</v>
      </c>
      <c r="M289" s="5" t="s">
        <v>29</v>
      </c>
      <c r="N289" s="5" t="s">
        <v>30</v>
      </c>
      <c r="O289" s="5" t="s">
        <v>42</v>
      </c>
    </row>
    <row r="290" spans="1:15" s="4" customFormat="1">
      <c r="A290" s="4">
        <v>289</v>
      </c>
      <c r="B290" s="5" t="s">
        <v>519</v>
      </c>
      <c r="C290" s="3">
        <v>45960</v>
      </c>
      <c r="D290" s="5" t="s">
        <v>48</v>
      </c>
      <c r="E290" s="5" t="s">
        <v>58</v>
      </c>
      <c r="F290" s="5" t="s">
        <v>52</v>
      </c>
      <c r="G290" s="5">
        <v>2</v>
      </c>
      <c r="H290" s="5">
        <v>1</v>
      </c>
      <c r="I290" s="5">
        <v>1189</v>
      </c>
      <c r="J290" s="13">
        <v>832300</v>
      </c>
      <c r="K290" s="15">
        <f t="shared" si="4"/>
        <v>700</v>
      </c>
      <c r="L290" s="5" t="s">
        <v>24</v>
      </c>
      <c r="M290" s="5" t="s">
        <v>17</v>
      </c>
      <c r="N290" s="5" t="s">
        <v>41</v>
      </c>
      <c r="O290" s="5" t="s">
        <v>42</v>
      </c>
    </row>
    <row r="291" spans="1:15" s="4" customFormat="1">
      <c r="A291" s="4">
        <v>290</v>
      </c>
      <c r="B291" s="5" t="s">
        <v>478</v>
      </c>
      <c r="C291" s="3">
        <v>45868</v>
      </c>
      <c r="D291" s="5" t="s">
        <v>39</v>
      </c>
      <c r="E291" s="5" t="s">
        <v>40</v>
      </c>
      <c r="F291" s="5" t="s">
        <v>15</v>
      </c>
      <c r="G291" s="5">
        <v>3</v>
      </c>
      <c r="H291" s="5">
        <v>2</v>
      </c>
      <c r="I291" s="5">
        <v>1184</v>
      </c>
      <c r="J291" s="13">
        <v>568600</v>
      </c>
      <c r="K291" s="15">
        <f t="shared" si="4"/>
        <v>480.23648648648651</v>
      </c>
      <c r="L291" s="5" t="s">
        <v>16</v>
      </c>
      <c r="M291" s="5" t="s">
        <v>29</v>
      </c>
      <c r="N291" s="5" t="s">
        <v>18</v>
      </c>
      <c r="O291" s="5" t="s">
        <v>46</v>
      </c>
    </row>
    <row r="292" spans="1:15" s="4" customFormat="1">
      <c r="A292" s="4">
        <v>291</v>
      </c>
      <c r="B292" s="5" t="s">
        <v>126</v>
      </c>
      <c r="C292" s="3">
        <v>45799</v>
      </c>
      <c r="D292" s="5" t="s">
        <v>32</v>
      </c>
      <c r="E292" s="5" t="s">
        <v>61</v>
      </c>
      <c r="F292" s="5" t="s">
        <v>23</v>
      </c>
      <c r="G292" s="5">
        <v>2</v>
      </c>
      <c r="H292" s="5">
        <v>2</v>
      </c>
      <c r="I292" s="5">
        <v>1182</v>
      </c>
      <c r="J292" s="13">
        <v>413400</v>
      </c>
      <c r="K292" s="15">
        <f t="shared" si="4"/>
        <v>349.74619289340103</v>
      </c>
      <c r="L292" s="5" t="s">
        <v>24</v>
      </c>
      <c r="M292" s="5" t="s">
        <v>17</v>
      </c>
      <c r="N292" s="5" t="s">
        <v>18</v>
      </c>
      <c r="O292" s="5" t="s">
        <v>46</v>
      </c>
    </row>
    <row r="293" spans="1:15" s="4" customFormat="1">
      <c r="A293" s="4">
        <v>292</v>
      </c>
      <c r="B293" s="5" t="s">
        <v>449</v>
      </c>
      <c r="C293" s="3">
        <v>45788</v>
      </c>
      <c r="D293" s="5" t="s">
        <v>39</v>
      </c>
      <c r="E293" s="5" t="s">
        <v>40</v>
      </c>
      <c r="F293" s="5" t="s">
        <v>34</v>
      </c>
      <c r="G293" s="5">
        <v>2</v>
      </c>
      <c r="H293" s="5">
        <v>2</v>
      </c>
      <c r="I293" s="5">
        <v>1182</v>
      </c>
      <c r="J293" s="13">
        <v>714300</v>
      </c>
      <c r="K293" s="15">
        <f t="shared" si="4"/>
        <v>604.31472081218271</v>
      </c>
      <c r="L293" s="5" t="s">
        <v>16</v>
      </c>
      <c r="M293" s="5" t="s">
        <v>17</v>
      </c>
      <c r="N293" s="5" t="s">
        <v>30</v>
      </c>
      <c r="O293" s="5" t="s">
        <v>42</v>
      </c>
    </row>
    <row r="294" spans="1:15" s="4" customFormat="1">
      <c r="A294" s="4">
        <v>293</v>
      </c>
      <c r="B294" s="5" t="s">
        <v>401</v>
      </c>
      <c r="C294" s="3">
        <v>46004</v>
      </c>
      <c r="D294" s="5" t="s">
        <v>32</v>
      </c>
      <c r="E294" s="5" t="s">
        <v>58</v>
      </c>
      <c r="F294" s="5" t="s">
        <v>52</v>
      </c>
      <c r="G294" s="5">
        <v>2</v>
      </c>
      <c r="H294" s="5">
        <v>2</v>
      </c>
      <c r="I294" s="5">
        <v>1180</v>
      </c>
      <c r="J294" s="13">
        <v>810200</v>
      </c>
      <c r="K294" s="15">
        <f t="shared" si="4"/>
        <v>686.61016949152543</v>
      </c>
      <c r="L294" s="5" t="s">
        <v>24</v>
      </c>
      <c r="M294" s="5" t="s">
        <v>17</v>
      </c>
      <c r="N294" s="5" t="s">
        <v>41</v>
      </c>
      <c r="O294" s="5" t="s">
        <v>19</v>
      </c>
    </row>
    <row r="295" spans="1:15" s="4" customFormat="1">
      <c r="A295" s="4">
        <v>294</v>
      </c>
      <c r="B295" s="5" t="s">
        <v>461</v>
      </c>
      <c r="C295" s="3">
        <v>45989</v>
      </c>
      <c r="D295" s="5" t="s">
        <v>39</v>
      </c>
      <c r="E295" s="5" t="s">
        <v>40</v>
      </c>
      <c r="F295" s="5" t="s">
        <v>23</v>
      </c>
      <c r="G295" s="5">
        <v>2</v>
      </c>
      <c r="H295" s="5">
        <v>1</v>
      </c>
      <c r="I295" s="5">
        <v>1165</v>
      </c>
      <c r="J295" s="13">
        <v>732400</v>
      </c>
      <c r="K295" s="15">
        <f t="shared" si="4"/>
        <v>628.66952789699576</v>
      </c>
      <c r="L295" s="5" t="s">
        <v>53</v>
      </c>
      <c r="M295" s="5" t="s">
        <v>29</v>
      </c>
      <c r="N295" s="5" t="s">
        <v>41</v>
      </c>
      <c r="O295" s="5" t="s">
        <v>35</v>
      </c>
    </row>
    <row r="296" spans="1:15" s="4" customFormat="1">
      <c r="A296" s="4">
        <v>295</v>
      </c>
      <c r="B296" s="5" t="s">
        <v>500</v>
      </c>
      <c r="C296" s="3">
        <v>45696</v>
      </c>
      <c r="D296" s="5" t="s">
        <v>32</v>
      </c>
      <c r="E296" s="5" t="s">
        <v>61</v>
      </c>
      <c r="F296" s="5" t="s">
        <v>34</v>
      </c>
      <c r="G296" s="5">
        <v>2</v>
      </c>
      <c r="H296" s="5">
        <v>2</v>
      </c>
      <c r="I296" s="5">
        <v>1163</v>
      </c>
      <c r="J296" s="13">
        <v>430500</v>
      </c>
      <c r="K296" s="15">
        <f t="shared" si="4"/>
        <v>370.16337059329322</v>
      </c>
      <c r="L296" s="5" t="s">
        <v>24</v>
      </c>
      <c r="M296" s="5" t="s">
        <v>29</v>
      </c>
      <c r="N296" s="5" t="s">
        <v>30</v>
      </c>
      <c r="O296" s="5" t="s">
        <v>37</v>
      </c>
    </row>
    <row r="297" spans="1:15" s="4" customFormat="1">
      <c r="A297" s="4">
        <v>296</v>
      </c>
      <c r="B297" s="5" t="s">
        <v>290</v>
      </c>
      <c r="C297" s="3">
        <v>45796</v>
      </c>
      <c r="D297" s="5" t="s">
        <v>27</v>
      </c>
      <c r="E297" s="5" t="s">
        <v>56</v>
      </c>
      <c r="F297" s="5" t="s">
        <v>15</v>
      </c>
      <c r="G297" s="5">
        <v>2</v>
      </c>
      <c r="H297" s="5">
        <v>2</v>
      </c>
      <c r="I297" s="5">
        <v>1163</v>
      </c>
      <c r="J297" s="13">
        <v>841000</v>
      </c>
      <c r="K297" s="15">
        <f t="shared" si="4"/>
        <v>723.12983662940667</v>
      </c>
      <c r="L297" s="5" t="s">
        <v>16</v>
      </c>
      <c r="M297" s="5" t="s">
        <v>29</v>
      </c>
      <c r="N297" s="5" t="s">
        <v>41</v>
      </c>
      <c r="O297" s="5" t="s">
        <v>37</v>
      </c>
    </row>
    <row r="298" spans="1:15" s="4" customFormat="1">
      <c r="A298" s="4">
        <v>297</v>
      </c>
      <c r="B298" s="5" t="s">
        <v>76</v>
      </c>
      <c r="C298" s="3">
        <v>45818</v>
      </c>
      <c r="D298" s="5" t="s">
        <v>32</v>
      </c>
      <c r="E298" s="5" t="s">
        <v>77</v>
      </c>
      <c r="F298" s="5" t="s">
        <v>15</v>
      </c>
      <c r="G298" s="5">
        <v>3</v>
      </c>
      <c r="H298" s="5">
        <v>2</v>
      </c>
      <c r="I298" s="5">
        <v>1160</v>
      </c>
      <c r="J298" s="13">
        <v>357200</v>
      </c>
      <c r="K298" s="15">
        <f t="shared" si="4"/>
        <v>307.93103448275861</v>
      </c>
      <c r="L298" s="5" t="s">
        <v>16</v>
      </c>
      <c r="M298" s="5" t="s">
        <v>29</v>
      </c>
      <c r="N298" s="5" t="s">
        <v>41</v>
      </c>
      <c r="O298" s="5" t="s">
        <v>25</v>
      </c>
    </row>
    <row r="299" spans="1:15" s="4" customFormat="1">
      <c r="A299" s="4">
        <v>298</v>
      </c>
      <c r="B299" s="5" t="s">
        <v>127</v>
      </c>
      <c r="C299" s="3">
        <v>45685</v>
      </c>
      <c r="D299" s="5" t="s">
        <v>32</v>
      </c>
      <c r="E299" s="5" t="s">
        <v>77</v>
      </c>
      <c r="F299" s="5" t="s">
        <v>34</v>
      </c>
      <c r="G299" s="5">
        <v>2</v>
      </c>
      <c r="H299" s="5">
        <v>2</v>
      </c>
      <c r="I299" s="5">
        <v>1160</v>
      </c>
      <c r="J299" s="13">
        <v>371900</v>
      </c>
      <c r="K299" s="15">
        <f t="shared" si="4"/>
        <v>320.60344827586209</v>
      </c>
      <c r="L299" s="5" t="s">
        <v>24</v>
      </c>
      <c r="M299" s="5" t="s">
        <v>17</v>
      </c>
      <c r="N299" s="5" t="s">
        <v>41</v>
      </c>
      <c r="O299" s="5" t="s">
        <v>46</v>
      </c>
    </row>
    <row r="300" spans="1:15" s="4" customFormat="1">
      <c r="A300" s="4">
        <v>299</v>
      </c>
      <c r="B300" s="5" t="s">
        <v>454</v>
      </c>
      <c r="C300" s="3">
        <v>45849</v>
      </c>
      <c r="D300" s="5" t="s">
        <v>32</v>
      </c>
      <c r="E300" s="5" t="s">
        <v>112</v>
      </c>
      <c r="F300" s="5" t="s">
        <v>15</v>
      </c>
      <c r="G300" s="5">
        <v>3</v>
      </c>
      <c r="H300" s="5">
        <v>3</v>
      </c>
      <c r="I300" s="5">
        <v>1158</v>
      </c>
      <c r="J300" s="13">
        <v>391200</v>
      </c>
      <c r="K300" s="15">
        <f t="shared" si="4"/>
        <v>337.8238341968912</v>
      </c>
      <c r="L300" s="5" t="s">
        <v>24</v>
      </c>
      <c r="M300" s="5" t="s">
        <v>17</v>
      </c>
      <c r="N300" s="5" t="s">
        <v>30</v>
      </c>
      <c r="O300" s="5" t="s">
        <v>19</v>
      </c>
    </row>
    <row r="301" spans="1:15" s="4" customFormat="1">
      <c r="A301" s="4">
        <v>300</v>
      </c>
      <c r="B301" s="5" t="s">
        <v>533</v>
      </c>
      <c r="C301" s="3">
        <v>45943</v>
      </c>
      <c r="D301" s="5" t="s">
        <v>14</v>
      </c>
      <c r="E301" s="5" t="s">
        <v>56</v>
      </c>
      <c r="F301" s="5" t="s">
        <v>15</v>
      </c>
      <c r="G301" s="5">
        <v>2</v>
      </c>
      <c r="H301" s="5">
        <v>2</v>
      </c>
      <c r="I301" s="5">
        <v>1151</v>
      </c>
      <c r="J301" s="13">
        <v>596900</v>
      </c>
      <c r="K301" s="15">
        <f t="shared" si="4"/>
        <v>518.5925282363163</v>
      </c>
      <c r="L301" s="5" t="s">
        <v>24</v>
      </c>
      <c r="M301" s="5" t="s">
        <v>17</v>
      </c>
      <c r="N301" s="5" t="s">
        <v>30</v>
      </c>
      <c r="O301" s="5" t="s">
        <v>42</v>
      </c>
    </row>
    <row r="302" spans="1:15" s="4" customFormat="1">
      <c r="A302" s="4">
        <v>301</v>
      </c>
      <c r="B302" s="5" t="s">
        <v>136</v>
      </c>
      <c r="C302" s="3">
        <v>45797</v>
      </c>
      <c r="D302" s="5" t="s">
        <v>44</v>
      </c>
      <c r="E302" s="5" t="s">
        <v>100</v>
      </c>
      <c r="F302" s="5" t="s">
        <v>34</v>
      </c>
      <c r="G302" s="5">
        <v>3</v>
      </c>
      <c r="H302" s="5">
        <v>3</v>
      </c>
      <c r="I302" s="5">
        <v>1147</v>
      </c>
      <c r="J302" s="13">
        <v>0</v>
      </c>
      <c r="K302" s="15">
        <f t="shared" si="4"/>
        <v>0</v>
      </c>
      <c r="L302" s="5" t="s">
        <v>24</v>
      </c>
      <c r="M302" s="5" t="s">
        <v>17</v>
      </c>
      <c r="N302" s="5" t="s">
        <v>30</v>
      </c>
      <c r="O302" s="5" t="s">
        <v>19</v>
      </c>
    </row>
    <row r="303" spans="1:15" s="4" customFormat="1">
      <c r="A303" s="4">
        <v>302</v>
      </c>
      <c r="B303" s="5" t="s">
        <v>554</v>
      </c>
      <c r="C303" s="3">
        <v>45862</v>
      </c>
      <c r="D303" s="5" t="s">
        <v>32</v>
      </c>
      <c r="E303" s="5" t="s">
        <v>112</v>
      </c>
      <c r="F303" s="5" t="s">
        <v>23</v>
      </c>
      <c r="G303" s="5">
        <v>2</v>
      </c>
      <c r="H303" s="5">
        <v>2</v>
      </c>
      <c r="I303" s="5">
        <v>1143</v>
      </c>
      <c r="J303" s="13">
        <v>330800</v>
      </c>
      <c r="K303" s="15">
        <f t="shared" si="4"/>
        <v>289.41382327209101</v>
      </c>
      <c r="L303" s="5" t="s">
        <v>53</v>
      </c>
      <c r="M303" s="5" t="s">
        <v>29</v>
      </c>
      <c r="N303" s="5" t="s">
        <v>30</v>
      </c>
      <c r="O303" s="5" t="s">
        <v>35</v>
      </c>
    </row>
    <row r="304" spans="1:15" s="4" customFormat="1">
      <c r="A304" s="4">
        <v>303</v>
      </c>
      <c r="B304" s="5" t="s">
        <v>251</v>
      </c>
      <c r="C304" s="3">
        <v>45903</v>
      </c>
      <c r="D304" s="5" t="s">
        <v>14</v>
      </c>
      <c r="E304" s="5" t="s">
        <v>567</v>
      </c>
      <c r="F304" s="5" t="s">
        <v>34</v>
      </c>
      <c r="G304" s="5">
        <v>3</v>
      </c>
      <c r="H304" s="5">
        <v>2</v>
      </c>
      <c r="I304" s="5">
        <v>1137</v>
      </c>
      <c r="J304" s="13">
        <v>664800</v>
      </c>
      <c r="K304" s="15">
        <f t="shared" si="4"/>
        <v>584.69656992084435</v>
      </c>
      <c r="L304" s="5" t="s">
        <v>16</v>
      </c>
      <c r="M304" s="5" t="s">
        <v>29</v>
      </c>
      <c r="N304" s="5" t="s">
        <v>41</v>
      </c>
      <c r="O304" s="5" t="s">
        <v>37</v>
      </c>
    </row>
    <row r="305" spans="1:15" s="4" customFormat="1">
      <c r="A305" s="4">
        <v>304</v>
      </c>
      <c r="B305" s="5" t="s">
        <v>452</v>
      </c>
      <c r="C305" s="3">
        <v>45808</v>
      </c>
      <c r="D305" s="5" t="s">
        <v>27</v>
      </c>
      <c r="E305" s="5" t="s">
        <v>69</v>
      </c>
      <c r="F305" s="5" t="s">
        <v>15</v>
      </c>
      <c r="G305" s="5">
        <v>2</v>
      </c>
      <c r="H305" s="5">
        <v>2</v>
      </c>
      <c r="I305" s="5">
        <v>1137</v>
      </c>
      <c r="J305" s="13">
        <v>771500</v>
      </c>
      <c r="K305" s="15">
        <f t="shared" si="4"/>
        <v>678.54001759014955</v>
      </c>
      <c r="L305" s="5" t="s">
        <v>16</v>
      </c>
      <c r="M305" s="5" t="s">
        <v>17</v>
      </c>
      <c r="N305" s="5" t="s">
        <v>41</v>
      </c>
      <c r="O305" s="5" t="s">
        <v>42</v>
      </c>
    </row>
    <row r="306" spans="1:15" s="4" customFormat="1">
      <c r="A306" s="4">
        <v>305</v>
      </c>
      <c r="B306" s="5" t="s">
        <v>50</v>
      </c>
      <c r="C306" s="3">
        <v>45957</v>
      </c>
      <c r="D306" s="5" t="s">
        <v>39</v>
      </c>
      <c r="E306" s="5" t="s">
        <v>51</v>
      </c>
      <c r="F306" s="5" t="s">
        <v>52</v>
      </c>
      <c r="G306" s="5">
        <v>2</v>
      </c>
      <c r="H306" s="5">
        <v>2</v>
      </c>
      <c r="I306" s="5">
        <v>1130</v>
      </c>
      <c r="J306" s="13">
        <v>632700</v>
      </c>
      <c r="K306" s="15">
        <f t="shared" si="4"/>
        <v>559.91150442477874</v>
      </c>
      <c r="L306" s="5" t="s">
        <v>53</v>
      </c>
      <c r="M306" s="5" t="s">
        <v>17</v>
      </c>
      <c r="N306" s="5" t="s">
        <v>30</v>
      </c>
      <c r="O306" s="5" t="s">
        <v>46</v>
      </c>
    </row>
    <row r="307" spans="1:15" s="4" customFormat="1">
      <c r="A307" s="4">
        <v>306</v>
      </c>
      <c r="B307" s="5" t="s">
        <v>310</v>
      </c>
      <c r="C307" s="3">
        <v>46014</v>
      </c>
      <c r="D307" s="5" t="s">
        <v>32</v>
      </c>
      <c r="E307" s="5" t="s">
        <v>33</v>
      </c>
      <c r="F307" s="5" t="s">
        <v>34</v>
      </c>
      <c r="G307" s="5">
        <v>3</v>
      </c>
      <c r="H307" s="5">
        <v>3</v>
      </c>
      <c r="I307" s="5">
        <v>1127</v>
      </c>
      <c r="J307" s="13">
        <v>343200</v>
      </c>
      <c r="K307" s="15">
        <f t="shared" si="4"/>
        <v>304.52528837622003</v>
      </c>
      <c r="L307" s="5" t="s">
        <v>53</v>
      </c>
      <c r="M307" s="5" t="s">
        <v>17</v>
      </c>
      <c r="N307" s="5" t="s">
        <v>18</v>
      </c>
      <c r="O307" s="5" t="s">
        <v>37</v>
      </c>
    </row>
    <row r="308" spans="1:15" s="4" customFormat="1">
      <c r="A308" s="4">
        <v>307</v>
      </c>
      <c r="B308" s="5" t="s">
        <v>376</v>
      </c>
      <c r="C308" s="3">
        <v>46020</v>
      </c>
      <c r="D308" s="5" t="s">
        <v>32</v>
      </c>
      <c r="E308" s="5" t="s">
        <v>61</v>
      </c>
      <c r="F308" s="5" t="s">
        <v>23</v>
      </c>
      <c r="G308" s="5">
        <v>2</v>
      </c>
      <c r="H308" s="5">
        <v>2</v>
      </c>
      <c r="I308" s="5">
        <v>1125</v>
      </c>
      <c r="J308" s="13">
        <v>329500</v>
      </c>
      <c r="K308" s="15">
        <f t="shared" si="4"/>
        <v>292.88888888888891</v>
      </c>
      <c r="L308" s="5" t="s">
        <v>24</v>
      </c>
      <c r="M308" s="5" t="s">
        <v>17</v>
      </c>
      <c r="N308" s="5" t="s">
        <v>30</v>
      </c>
      <c r="O308" s="5" t="s">
        <v>19</v>
      </c>
    </row>
    <row r="309" spans="1:15" s="4" customFormat="1">
      <c r="A309" s="4">
        <v>308</v>
      </c>
      <c r="B309" s="5" t="s">
        <v>436</v>
      </c>
      <c r="C309" s="3">
        <v>45712</v>
      </c>
      <c r="D309" s="5" t="s">
        <v>32</v>
      </c>
      <c r="E309" s="5" t="s">
        <v>61</v>
      </c>
      <c r="F309" s="5" t="s">
        <v>15</v>
      </c>
      <c r="G309" s="5">
        <v>2</v>
      </c>
      <c r="H309" s="5">
        <v>2</v>
      </c>
      <c r="I309" s="5">
        <v>1122</v>
      </c>
      <c r="J309" s="13">
        <v>361800</v>
      </c>
      <c r="K309" s="15">
        <f t="shared" si="4"/>
        <v>322.45989304812832</v>
      </c>
      <c r="L309" s="5" t="s">
        <v>53</v>
      </c>
      <c r="M309" s="5" t="s">
        <v>29</v>
      </c>
      <c r="N309" s="5" t="s">
        <v>18</v>
      </c>
      <c r="O309" s="5" t="s">
        <v>19</v>
      </c>
    </row>
    <row r="310" spans="1:15" s="4" customFormat="1">
      <c r="A310" s="4">
        <v>309</v>
      </c>
      <c r="B310" s="5" t="s">
        <v>81</v>
      </c>
      <c r="C310" s="3">
        <v>45695</v>
      </c>
      <c r="D310" s="5" t="s">
        <v>14</v>
      </c>
      <c r="E310" s="5" t="s">
        <v>82</v>
      </c>
      <c r="F310" s="5" t="s">
        <v>23</v>
      </c>
      <c r="G310" s="5">
        <v>2</v>
      </c>
      <c r="H310" s="5">
        <v>2</v>
      </c>
      <c r="I310" s="5">
        <v>1117</v>
      </c>
      <c r="J310" s="13">
        <v>665800</v>
      </c>
      <c r="K310" s="15">
        <f t="shared" si="4"/>
        <v>596.06087735004473</v>
      </c>
      <c r="L310" s="5" t="s">
        <v>16</v>
      </c>
      <c r="M310" s="5" t="s">
        <v>17</v>
      </c>
      <c r="N310" s="5" t="s">
        <v>41</v>
      </c>
      <c r="O310" s="5" t="s">
        <v>35</v>
      </c>
    </row>
    <row r="311" spans="1:15" s="4" customFormat="1">
      <c r="A311" s="4">
        <v>310</v>
      </c>
      <c r="B311" s="5" t="s">
        <v>502</v>
      </c>
      <c r="C311" s="3">
        <v>45712</v>
      </c>
      <c r="D311" s="5" t="s">
        <v>44</v>
      </c>
      <c r="E311" s="5" t="s">
        <v>100</v>
      </c>
      <c r="F311" s="5" t="s">
        <v>23</v>
      </c>
      <c r="G311" s="5">
        <v>2</v>
      </c>
      <c r="H311" s="5">
        <v>2</v>
      </c>
      <c r="I311" s="5">
        <v>1115</v>
      </c>
      <c r="J311" s="13">
        <v>493700</v>
      </c>
      <c r="K311" s="15">
        <f t="shared" si="4"/>
        <v>442.78026905829597</v>
      </c>
      <c r="L311" s="5" t="s">
        <v>16</v>
      </c>
      <c r="M311" s="5" t="s">
        <v>29</v>
      </c>
      <c r="N311" s="5" t="s">
        <v>41</v>
      </c>
      <c r="O311" s="5" t="s">
        <v>42</v>
      </c>
    </row>
    <row r="312" spans="1:15" s="4" customFormat="1">
      <c r="A312" s="4">
        <v>311</v>
      </c>
      <c r="B312" s="5" t="s">
        <v>387</v>
      </c>
      <c r="C312" s="3">
        <v>45675</v>
      </c>
      <c r="D312" s="5" t="s">
        <v>39</v>
      </c>
      <c r="E312" s="5" t="s">
        <v>51</v>
      </c>
      <c r="F312" s="5" t="s">
        <v>23</v>
      </c>
      <c r="G312" s="5">
        <v>3</v>
      </c>
      <c r="H312" s="5">
        <v>3</v>
      </c>
      <c r="I312" s="5">
        <v>1115</v>
      </c>
      <c r="J312" s="13">
        <v>564400</v>
      </c>
      <c r="K312" s="15">
        <f t="shared" si="4"/>
        <v>506.18834080717488</v>
      </c>
      <c r="L312" s="5" t="s">
        <v>24</v>
      </c>
      <c r="M312" s="5" t="s">
        <v>29</v>
      </c>
      <c r="N312" s="5" t="s">
        <v>18</v>
      </c>
      <c r="O312" s="5" t="s">
        <v>25</v>
      </c>
    </row>
    <row r="313" spans="1:15" s="4" customFormat="1">
      <c r="A313" s="4">
        <v>312</v>
      </c>
      <c r="B313" s="5" t="s">
        <v>458</v>
      </c>
      <c r="C313" s="3">
        <v>45857</v>
      </c>
      <c r="D313" s="5" t="s">
        <v>21</v>
      </c>
      <c r="E313" s="5" t="s">
        <v>22</v>
      </c>
      <c r="F313" s="5" t="s">
        <v>34</v>
      </c>
      <c r="G313" s="5">
        <v>3</v>
      </c>
      <c r="H313" s="5">
        <v>3</v>
      </c>
      <c r="I313" s="5">
        <v>1114</v>
      </c>
      <c r="J313" s="13">
        <v>1144300</v>
      </c>
      <c r="K313" s="15">
        <f t="shared" si="4"/>
        <v>1027.1992818671454</v>
      </c>
      <c r="L313" s="5" t="s">
        <v>24</v>
      </c>
      <c r="M313" s="5" t="s">
        <v>29</v>
      </c>
      <c r="N313" s="5" t="s">
        <v>41</v>
      </c>
      <c r="O313" s="5" t="s">
        <v>19</v>
      </c>
    </row>
    <row r="314" spans="1:15" s="4" customFormat="1">
      <c r="A314" s="4">
        <v>313</v>
      </c>
      <c r="B314" s="5" t="s">
        <v>262</v>
      </c>
      <c r="C314" s="3">
        <v>45870</v>
      </c>
      <c r="D314" s="5" t="s">
        <v>32</v>
      </c>
      <c r="E314" s="5" t="s">
        <v>77</v>
      </c>
      <c r="F314" s="5" t="s">
        <v>23</v>
      </c>
      <c r="G314" s="5">
        <v>2</v>
      </c>
      <c r="H314" s="5">
        <v>2</v>
      </c>
      <c r="I314" s="5">
        <v>1112</v>
      </c>
      <c r="J314" s="13">
        <v>376000</v>
      </c>
      <c r="K314" s="15">
        <f t="shared" si="4"/>
        <v>338.12949640287769</v>
      </c>
      <c r="L314" s="5" t="s">
        <v>24</v>
      </c>
      <c r="M314" s="5" t="s">
        <v>17</v>
      </c>
      <c r="N314" s="5" t="s">
        <v>41</v>
      </c>
      <c r="O314" s="5" t="s">
        <v>42</v>
      </c>
    </row>
    <row r="315" spans="1:15" s="4" customFormat="1">
      <c r="A315" s="4">
        <v>314</v>
      </c>
      <c r="B315" s="5" t="s">
        <v>485</v>
      </c>
      <c r="C315" s="3">
        <v>46014</v>
      </c>
      <c r="D315" s="5" t="s">
        <v>48</v>
      </c>
      <c r="E315" s="5" t="s">
        <v>61</v>
      </c>
      <c r="F315" s="5" t="s">
        <v>34</v>
      </c>
      <c r="G315" s="5">
        <v>3</v>
      </c>
      <c r="H315" s="5">
        <v>2</v>
      </c>
      <c r="I315" s="5">
        <v>1111</v>
      </c>
      <c r="J315" s="13">
        <v>910000</v>
      </c>
      <c r="K315" s="15">
        <f t="shared" si="4"/>
        <v>819.08190819081904</v>
      </c>
      <c r="L315" s="5" t="s">
        <v>24</v>
      </c>
      <c r="M315" s="5" t="s">
        <v>29</v>
      </c>
      <c r="N315" s="5" t="s">
        <v>30</v>
      </c>
      <c r="O315" s="5" t="s">
        <v>46</v>
      </c>
    </row>
    <row r="316" spans="1:15" s="4" customFormat="1">
      <c r="A316" s="4">
        <v>315</v>
      </c>
      <c r="B316" s="5" t="s">
        <v>133</v>
      </c>
      <c r="C316" s="3">
        <v>45659</v>
      </c>
      <c r="D316" s="5" t="s">
        <v>21</v>
      </c>
      <c r="E316" s="5" t="s">
        <v>22</v>
      </c>
      <c r="F316" s="5" t="s">
        <v>23</v>
      </c>
      <c r="G316" s="5">
        <v>2</v>
      </c>
      <c r="H316" s="5">
        <v>1</v>
      </c>
      <c r="I316" s="5">
        <v>1110</v>
      </c>
      <c r="J316" s="13">
        <v>1025300</v>
      </c>
      <c r="K316" s="15">
        <f t="shared" si="4"/>
        <v>923.69369369369372</v>
      </c>
      <c r="L316" s="5" t="s">
        <v>53</v>
      </c>
      <c r="M316" s="5" t="s">
        <v>17</v>
      </c>
      <c r="N316" s="5" t="s">
        <v>41</v>
      </c>
      <c r="O316" s="5" t="s">
        <v>35</v>
      </c>
    </row>
    <row r="317" spans="1:15" s="4" customFormat="1">
      <c r="A317" s="4">
        <v>316</v>
      </c>
      <c r="B317" s="5" t="s">
        <v>453</v>
      </c>
      <c r="C317" s="3">
        <v>45972</v>
      </c>
      <c r="D317" s="5" t="s">
        <v>21</v>
      </c>
      <c r="E317" s="5" t="s">
        <v>84</v>
      </c>
      <c r="F317" s="5" t="s">
        <v>34</v>
      </c>
      <c r="G317" s="5">
        <v>3</v>
      </c>
      <c r="H317" s="5">
        <v>3</v>
      </c>
      <c r="I317" s="5">
        <v>1110</v>
      </c>
      <c r="J317" s="13">
        <v>1327700</v>
      </c>
      <c r="K317" s="15">
        <f t="shared" si="4"/>
        <v>1196.1261261261261</v>
      </c>
      <c r="L317" s="5" t="s">
        <v>24</v>
      </c>
      <c r="M317" s="5" t="s">
        <v>29</v>
      </c>
      <c r="N317" s="5" t="s">
        <v>18</v>
      </c>
      <c r="O317" s="5" t="s">
        <v>42</v>
      </c>
    </row>
    <row r="318" spans="1:15" s="4" customFormat="1">
      <c r="A318" s="4">
        <v>317</v>
      </c>
      <c r="B318" s="5" t="s">
        <v>559</v>
      </c>
      <c r="C318" s="3">
        <v>45814</v>
      </c>
      <c r="D318" s="5" t="s">
        <v>44</v>
      </c>
      <c r="E318" s="5" t="s">
        <v>100</v>
      </c>
      <c r="F318" s="5" t="s">
        <v>15</v>
      </c>
      <c r="G318" s="5">
        <v>2</v>
      </c>
      <c r="H318" s="5">
        <v>1</v>
      </c>
      <c r="I318" s="5">
        <v>1107</v>
      </c>
      <c r="J318" s="13">
        <v>510100</v>
      </c>
      <c r="K318" s="15">
        <f t="shared" si="4"/>
        <v>460.79494128274615</v>
      </c>
      <c r="L318" s="5" t="s">
        <v>53</v>
      </c>
      <c r="M318" s="5" t="s">
        <v>17</v>
      </c>
      <c r="N318" s="5" t="s">
        <v>18</v>
      </c>
      <c r="O318" s="5" t="s">
        <v>37</v>
      </c>
    </row>
    <row r="319" spans="1:15" s="4" customFormat="1">
      <c r="A319" s="4">
        <v>318</v>
      </c>
      <c r="B319" s="5" t="s">
        <v>438</v>
      </c>
      <c r="C319" s="3">
        <v>45660</v>
      </c>
      <c r="D319" s="5" t="s">
        <v>27</v>
      </c>
      <c r="E319" s="5" t="s">
        <v>56</v>
      </c>
      <c r="F319" s="5" t="s">
        <v>52</v>
      </c>
      <c r="G319" s="5">
        <v>3</v>
      </c>
      <c r="H319" s="5">
        <v>2</v>
      </c>
      <c r="I319" s="5">
        <v>1106</v>
      </c>
      <c r="J319" s="13">
        <v>926900</v>
      </c>
      <c r="K319" s="15">
        <f t="shared" si="4"/>
        <v>838.06509945750452</v>
      </c>
      <c r="L319" s="5" t="s">
        <v>24</v>
      </c>
      <c r="M319" s="5" t="s">
        <v>29</v>
      </c>
      <c r="N319" s="5" t="s">
        <v>41</v>
      </c>
      <c r="O319" s="5" t="s">
        <v>25</v>
      </c>
    </row>
    <row r="320" spans="1:15" s="4" customFormat="1">
      <c r="A320" s="4">
        <v>319</v>
      </c>
      <c r="B320" s="5" t="s">
        <v>531</v>
      </c>
      <c r="C320" s="3">
        <v>45860</v>
      </c>
      <c r="D320" s="5" t="s">
        <v>39</v>
      </c>
      <c r="E320" s="5" t="s">
        <v>40</v>
      </c>
      <c r="F320" s="5" t="s">
        <v>15</v>
      </c>
      <c r="G320" s="5">
        <v>2</v>
      </c>
      <c r="H320" s="5">
        <v>2</v>
      </c>
      <c r="I320" s="5">
        <v>1104</v>
      </c>
      <c r="J320" s="13">
        <v>595800</v>
      </c>
      <c r="K320" s="15">
        <f t="shared" si="4"/>
        <v>539.67391304347825</v>
      </c>
      <c r="L320" s="5" t="s">
        <v>16</v>
      </c>
      <c r="M320" s="5" t="s">
        <v>29</v>
      </c>
      <c r="N320" s="5" t="s">
        <v>18</v>
      </c>
      <c r="O320" s="5" t="s">
        <v>35</v>
      </c>
    </row>
    <row r="321" spans="1:15" s="4" customFormat="1">
      <c r="A321" s="4">
        <v>320</v>
      </c>
      <c r="B321" s="5" t="s">
        <v>531</v>
      </c>
      <c r="C321" s="3">
        <v>45860</v>
      </c>
      <c r="D321" s="5" t="s">
        <v>39</v>
      </c>
      <c r="E321" s="5" t="s">
        <v>40</v>
      </c>
      <c r="F321" s="5" t="s">
        <v>15</v>
      </c>
      <c r="G321" s="5">
        <v>2</v>
      </c>
      <c r="H321" s="5">
        <v>2</v>
      </c>
      <c r="I321" s="5">
        <v>1104</v>
      </c>
      <c r="J321" s="13">
        <v>595800</v>
      </c>
      <c r="K321" s="15">
        <f t="shared" si="4"/>
        <v>539.67391304347825</v>
      </c>
      <c r="L321" s="5" t="s">
        <v>16</v>
      </c>
      <c r="M321" s="5" t="s">
        <v>29</v>
      </c>
      <c r="N321" s="5" t="s">
        <v>18</v>
      </c>
      <c r="O321" s="5" t="s">
        <v>35</v>
      </c>
    </row>
    <row r="322" spans="1:15" s="4" customFormat="1">
      <c r="A322" s="4">
        <v>321</v>
      </c>
      <c r="B322" s="5" t="s">
        <v>283</v>
      </c>
      <c r="C322" s="3">
        <v>45744</v>
      </c>
      <c r="D322" s="5" t="s">
        <v>14</v>
      </c>
      <c r="E322" s="5" t="s">
        <v>129</v>
      </c>
      <c r="F322" s="5" t="s">
        <v>52</v>
      </c>
      <c r="G322" s="5">
        <v>2</v>
      </c>
      <c r="H322" s="5">
        <v>1</v>
      </c>
      <c r="I322" s="5">
        <v>1096</v>
      </c>
      <c r="J322" s="13">
        <v>692800</v>
      </c>
      <c r="K322" s="15">
        <f t="shared" ref="K322:K385" si="5">J322/I322</f>
        <v>632.11678832116786</v>
      </c>
      <c r="L322" s="5" t="s">
        <v>16</v>
      </c>
      <c r="M322" s="5" t="s">
        <v>17</v>
      </c>
      <c r="N322" s="5" t="s">
        <v>18</v>
      </c>
      <c r="O322" s="5" t="s">
        <v>35</v>
      </c>
    </row>
    <row r="323" spans="1:15" s="4" customFormat="1">
      <c r="A323" s="4">
        <v>322</v>
      </c>
      <c r="B323" s="5" t="s">
        <v>211</v>
      </c>
      <c r="C323" s="3">
        <v>45838</v>
      </c>
      <c r="D323" s="5" t="s">
        <v>27</v>
      </c>
      <c r="E323" s="5" t="s">
        <v>100</v>
      </c>
      <c r="F323" s="5" t="s">
        <v>23</v>
      </c>
      <c r="G323" s="5">
        <v>2</v>
      </c>
      <c r="H323" s="5">
        <v>2</v>
      </c>
      <c r="I323" s="5">
        <v>1096</v>
      </c>
      <c r="J323" s="13">
        <v>729500</v>
      </c>
      <c r="K323" s="15">
        <f t="shared" si="5"/>
        <v>665.60218978102193</v>
      </c>
      <c r="L323" s="5" t="s">
        <v>16</v>
      </c>
      <c r="M323" s="5" t="s">
        <v>17</v>
      </c>
      <c r="N323" s="5" t="s">
        <v>18</v>
      </c>
      <c r="O323" s="5" t="s">
        <v>42</v>
      </c>
    </row>
    <row r="324" spans="1:15" s="4" customFormat="1">
      <c r="A324" s="4">
        <v>323</v>
      </c>
      <c r="B324" s="5" t="s">
        <v>504</v>
      </c>
      <c r="C324" s="3">
        <v>45934</v>
      </c>
      <c r="D324" s="5" t="s">
        <v>48</v>
      </c>
      <c r="E324" s="5" t="s">
        <v>61</v>
      </c>
      <c r="F324" s="5" t="s">
        <v>52</v>
      </c>
      <c r="G324" s="5">
        <v>2</v>
      </c>
      <c r="H324" s="5">
        <v>1</v>
      </c>
      <c r="I324" s="5">
        <v>1094</v>
      </c>
      <c r="J324" s="13">
        <v>742400</v>
      </c>
      <c r="K324" s="15">
        <f t="shared" si="5"/>
        <v>678.61060329067641</v>
      </c>
      <c r="L324" s="5" t="s">
        <v>16</v>
      </c>
      <c r="M324" s="5" t="s">
        <v>17</v>
      </c>
      <c r="N324" s="5" t="s">
        <v>30</v>
      </c>
      <c r="O324" s="5" t="s">
        <v>42</v>
      </c>
    </row>
    <row r="325" spans="1:15" s="4" customFormat="1">
      <c r="A325" s="4">
        <v>324</v>
      </c>
      <c r="B325" s="5" t="s">
        <v>119</v>
      </c>
      <c r="C325" s="3">
        <v>45712</v>
      </c>
      <c r="D325" s="5" t="s">
        <v>39</v>
      </c>
      <c r="E325" s="5" t="s">
        <v>40</v>
      </c>
      <c r="F325" s="5" t="s">
        <v>15</v>
      </c>
      <c r="G325" s="5">
        <v>3</v>
      </c>
      <c r="H325" s="5">
        <v>2</v>
      </c>
      <c r="I325" s="5">
        <v>1093</v>
      </c>
      <c r="J325" s="13">
        <v>626300</v>
      </c>
      <c r="K325" s="15">
        <f t="shared" si="5"/>
        <v>573.0100640439158</v>
      </c>
      <c r="L325" s="5" t="s">
        <v>53</v>
      </c>
      <c r="M325" s="5" t="s">
        <v>17</v>
      </c>
      <c r="N325" s="5" t="s">
        <v>41</v>
      </c>
      <c r="O325" s="5" t="s">
        <v>25</v>
      </c>
    </row>
    <row r="326" spans="1:15" s="4" customFormat="1">
      <c r="A326" s="4">
        <v>325</v>
      </c>
      <c r="B326" s="5" t="s">
        <v>95</v>
      </c>
      <c r="C326" s="3">
        <v>45793</v>
      </c>
      <c r="D326" s="5" t="s">
        <v>32</v>
      </c>
      <c r="E326" s="5" t="s">
        <v>61</v>
      </c>
      <c r="F326" s="5" t="s">
        <v>15</v>
      </c>
      <c r="G326" s="5">
        <v>2</v>
      </c>
      <c r="H326" s="5">
        <v>2</v>
      </c>
      <c r="I326" s="5">
        <v>1092</v>
      </c>
      <c r="J326" s="13">
        <v>339600</v>
      </c>
      <c r="K326" s="15">
        <f t="shared" si="5"/>
        <v>310.98901098901098</v>
      </c>
      <c r="L326" s="5" t="s">
        <v>16</v>
      </c>
      <c r="M326" s="5" t="s">
        <v>29</v>
      </c>
      <c r="N326" s="5" t="s">
        <v>41</v>
      </c>
      <c r="O326" s="5" t="s">
        <v>25</v>
      </c>
    </row>
    <row r="327" spans="1:15" s="4" customFormat="1">
      <c r="A327" s="4">
        <v>326</v>
      </c>
      <c r="B327" s="5" t="s">
        <v>501</v>
      </c>
      <c r="C327" s="3">
        <v>45755</v>
      </c>
      <c r="D327" s="5" t="s">
        <v>32</v>
      </c>
      <c r="E327" s="5" t="s">
        <v>77</v>
      </c>
      <c r="F327" s="5" t="s">
        <v>34</v>
      </c>
      <c r="G327" s="5">
        <v>2</v>
      </c>
      <c r="H327" s="5">
        <v>1</v>
      </c>
      <c r="I327" s="5">
        <v>1091</v>
      </c>
      <c r="J327" s="13">
        <v>390200</v>
      </c>
      <c r="K327" s="15">
        <f t="shared" si="5"/>
        <v>357.65352887259394</v>
      </c>
      <c r="L327" s="5" t="s">
        <v>53</v>
      </c>
      <c r="M327" s="5" t="s">
        <v>29</v>
      </c>
      <c r="N327" s="5" t="s">
        <v>18</v>
      </c>
      <c r="O327" s="5" t="s">
        <v>42</v>
      </c>
    </row>
    <row r="328" spans="1:15" s="4" customFormat="1">
      <c r="A328" s="4">
        <v>327</v>
      </c>
      <c r="B328" s="5" t="s">
        <v>340</v>
      </c>
      <c r="C328" s="3">
        <v>45899</v>
      </c>
      <c r="D328" s="5" t="s">
        <v>32</v>
      </c>
      <c r="E328" s="5" t="s">
        <v>33</v>
      </c>
      <c r="F328" s="5" t="s">
        <v>23</v>
      </c>
      <c r="G328" s="5">
        <v>3</v>
      </c>
      <c r="H328" s="5">
        <v>2</v>
      </c>
      <c r="I328" s="5">
        <v>1081</v>
      </c>
      <c r="J328" s="13">
        <v>324600</v>
      </c>
      <c r="K328" s="15">
        <f t="shared" si="5"/>
        <v>300.27752081406106</v>
      </c>
      <c r="L328" s="5" t="s">
        <v>16</v>
      </c>
      <c r="M328" s="5" t="s">
        <v>29</v>
      </c>
      <c r="N328" s="5" t="s">
        <v>41</v>
      </c>
      <c r="O328" s="5" t="s">
        <v>19</v>
      </c>
    </row>
    <row r="329" spans="1:15" s="4" customFormat="1">
      <c r="A329" s="4">
        <v>328</v>
      </c>
      <c r="B329" s="5" t="s">
        <v>318</v>
      </c>
      <c r="C329" s="3">
        <v>45662</v>
      </c>
      <c r="D329" s="5" t="s">
        <v>39</v>
      </c>
      <c r="E329" s="5" t="s">
        <v>40</v>
      </c>
      <c r="F329" s="5" t="s">
        <v>23</v>
      </c>
      <c r="G329" s="5">
        <v>2</v>
      </c>
      <c r="H329" s="5">
        <v>2</v>
      </c>
      <c r="I329" s="5">
        <v>1079</v>
      </c>
      <c r="J329" s="13">
        <v>674900</v>
      </c>
      <c r="K329" s="15">
        <f t="shared" si="5"/>
        <v>625.48656163113992</v>
      </c>
      <c r="L329" s="5" t="s">
        <v>24</v>
      </c>
      <c r="M329" s="5" t="s">
        <v>29</v>
      </c>
      <c r="N329" s="5" t="s">
        <v>18</v>
      </c>
      <c r="O329" s="5" t="s">
        <v>25</v>
      </c>
    </row>
    <row r="330" spans="1:15" s="4" customFormat="1">
      <c r="A330" s="4">
        <v>329</v>
      </c>
      <c r="B330" s="5" t="s">
        <v>170</v>
      </c>
      <c r="C330" s="3">
        <v>45690</v>
      </c>
      <c r="D330" s="5" t="s">
        <v>32</v>
      </c>
      <c r="E330" s="5" t="s">
        <v>61</v>
      </c>
      <c r="F330" s="5" t="s">
        <v>23</v>
      </c>
      <c r="G330" s="5">
        <v>2</v>
      </c>
      <c r="H330" s="5">
        <v>2</v>
      </c>
      <c r="I330" s="5">
        <v>1074</v>
      </c>
      <c r="J330" s="13">
        <v>316900</v>
      </c>
      <c r="K330" s="15">
        <f t="shared" si="5"/>
        <v>295.06517690875233</v>
      </c>
      <c r="L330" s="5" t="s">
        <v>53</v>
      </c>
      <c r="M330" s="5" t="s">
        <v>17</v>
      </c>
      <c r="N330" s="5" t="s">
        <v>30</v>
      </c>
      <c r="O330" s="5" t="s">
        <v>35</v>
      </c>
    </row>
    <row r="331" spans="1:15" s="4" customFormat="1">
      <c r="A331" s="4">
        <v>330</v>
      </c>
      <c r="B331" s="5" t="s">
        <v>164</v>
      </c>
      <c r="C331" s="3">
        <v>46014</v>
      </c>
      <c r="D331" s="5" t="s">
        <v>39</v>
      </c>
      <c r="E331" s="5" t="s">
        <v>61</v>
      </c>
      <c r="F331" s="5" t="s">
        <v>15</v>
      </c>
      <c r="G331" s="5">
        <v>2</v>
      </c>
      <c r="H331" s="5">
        <v>1</v>
      </c>
      <c r="I331" s="5">
        <v>1073</v>
      </c>
      <c r="J331" s="13">
        <v>592000</v>
      </c>
      <c r="K331" s="15">
        <f t="shared" si="5"/>
        <v>551.72413793103453</v>
      </c>
      <c r="L331" s="5" t="s">
        <v>24</v>
      </c>
      <c r="M331" s="5" t="s">
        <v>17</v>
      </c>
      <c r="N331" s="5" t="s">
        <v>41</v>
      </c>
      <c r="O331" s="5" t="s">
        <v>42</v>
      </c>
    </row>
    <row r="332" spans="1:15" s="4" customFormat="1">
      <c r="A332" s="4">
        <v>331</v>
      </c>
      <c r="B332" s="5" t="s">
        <v>124</v>
      </c>
      <c r="C332" s="3">
        <v>45997</v>
      </c>
      <c r="D332" s="5" t="s">
        <v>21</v>
      </c>
      <c r="E332" s="5" t="s">
        <v>67</v>
      </c>
      <c r="F332" s="5" t="s">
        <v>23</v>
      </c>
      <c r="G332" s="5">
        <v>3</v>
      </c>
      <c r="H332" s="5">
        <v>2</v>
      </c>
      <c r="I332" s="5">
        <v>1073</v>
      </c>
      <c r="J332" s="13">
        <v>1041100</v>
      </c>
      <c r="K332" s="15">
        <f t="shared" si="5"/>
        <v>970.27027027027032</v>
      </c>
      <c r="L332" s="5" t="s">
        <v>24</v>
      </c>
      <c r="M332" s="5" t="s">
        <v>17</v>
      </c>
      <c r="N332" s="5" t="s">
        <v>30</v>
      </c>
      <c r="O332" s="5" t="s">
        <v>35</v>
      </c>
    </row>
    <row r="333" spans="1:15" s="4" customFormat="1">
      <c r="A333" s="4">
        <v>332</v>
      </c>
      <c r="B333" s="5" t="s">
        <v>141</v>
      </c>
      <c r="C333" s="3">
        <v>45843</v>
      </c>
      <c r="D333" s="5" t="s">
        <v>48</v>
      </c>
      <c r="E333" s="5" t="s">
        <v>49</v>
      </c>
      <c r="F333" s="5" t="s">
        <v>52</v>
      </c>
      <c r="G333" s="5">
        <v>3</v>
      </c>
      <c r="H333" s="5">
        <v>3</v>
      </c>
      <c r="I333" s="5">
        <v>1067</v>
      </c>
      <c r="J333" s="13">
        <v>677700</v>
      </c>
      <c r="K333" s="15">
        <f t="shared" si="5"/>
        <v>635.14526710403004</v>
      </c>
      <c r="L333" s="5" t="s">
        <v>24</v>
      </c>
      <c r="M333" s="5" t="s">
        <v>17</v>
      </c>
      <c r="N333" s="5" t="s">
        <v>41</v>
      </c>
      <c r="O333" s="5" t="s">
        <v>25</v>
      </c>
    </row>
    <row r="334" spans="1:15" s="4" customFormat="1">
      <c r="A334" s="4">
        <v>333</v>
      </c>
      <c r="B334" s="5" t="s">
        <v>448</v>
      </c>
      <c r="C334" s="3">
        <v>45746</v>
      </c>
      <c r="D334" s="5" t="s">
        <v>14</v>
      </c>
      <c r="E334" s="5" t="s">
        <v>56</v>
      </c>
      <c r="F334" s="5" t="s">
        <v>23</v>
      </c>
      <c r="G334" s="5">
        <v>2</v>
      </c>
      <c r="H334" s="5">
        <v>2</v>
      </c>
      <c r="I334" s="5">
        <v>1064</v>
      </c>
      <c r="J334" s="13">
        <v>588100</v>
      </c>
      <c r="K334" s="15">
        <f t="shared" si="5"/>
        <v>552.72556390977445</v>
      </c>
      <c r="L334" s="5" t="s">
        <v>24</v>
      </c>
      <c r="M334" s="5" t="s">
        <v>29</v>
      </c>
      <c r="N334" s="5" t="s">
        <v>30</v>
      </c>
      <c r="O334" s="5" t="s">
        <v>19</v>
      </c>
    </row>
    <row r="335" spans="1:15" s="4" customFormat="1">
      <c r="A335" s="4">
        <v>334</v>
      </c>
      <c r="B335" s="5" t="s">
        <v>465</v>
      </c>
      <c r="C335" s="3">
        <v>45757</v>
      </c>
      <c r="D335" s="5" t="s">
        <v>44</v>
      </c>
      <c r="E335" s="5" t="s">
        <v>45</v>
      </c>
      <c r="F335" s="5" t="s">
        <v>15</v>
      </c>
      <c r="G335" s="5">
        <v>2</v>
      </c>
      <c r="H335" s="5">
        <v>1</v>
      </c>
      <c r="I335" s="5">
        <v>1063</v>
      </c>
      <c r="J335" s="13">
        <v>401300</v>
      </c>
      <c r="K335" s="15">
        <f t="shared" si="5"/>
        <v>377.51646284101599</v>
      </c>
      <c r="L335" s="5" t="s">
        <v>53</v>
      </c>
      <c r="M335" s="5" t="s">
        <v>17</v>
      </c>
      <c r="N335" s="5" t="s">
        <v>30</v>
      </c>
      <c r="O335" s="5" t="s">
        <v>37</v>
      </c>
    </row>
    <row r="336" spans="1:15" s="4" customFormat="1">
      <c r="A336" s="4">
        <v>335</v>
      </c>
      <c r="B336" s="5" t="s">
        <v>202</v>
      </c>
      <c r="C336" s="3">
        <v>45742</v>
      </c>
      <c r="D336" s="5" t="s">
        <v>48</v>
      </c>
      <c r="E336" s="5" t="s">
        <v>92</v>
      </c>
      <c r="F336" s="5" t="s">
        <v>52</v>
      </c>
      <c r="G336" s="5">
        <v>2</v>
      </c>
      <c r="H336" s="5">
        <v>2</v>
      </c>
      <c r="I336" s="5">
        <v>1060</v>
      </c>
      <c r="J336" s="13">
        <v>758700</v>
      </c>
      <c r="K336" s="15">
        <f t="shared" si="5"/>
        <v>715.75471698113211</v>
      </c>
      <c r="L336" s="5" t="s">
        <v>24</v>
      </c>
      <c r="M336" s="5" t="s">
        <v>17</v>
      </c>
      <c r="N336" s="5" t="s">
        <v>18</v>
      </c>
      <c r="O336" s="5" t="s">
        <v>25</v>
      </c>
    </row>
    <row r="337" spans="1:15" s="4" customFormat="1">
      <c r="A337" s="4">
        <v>336</v>
      </c>
      <c r="B337" s="5" t="s">
        <v>302</v>
      </c>
      <c r="C337" s="3">
        <v>45861</v>
      </c>
      <c r="D337" s="5" t="s">
        <v>27</v>
      </c>
      <c r="E337" s="5" t="s">
        <v>79</v>
      </c>
      <c r="F337" s="5" t="s">
        <v>34</v>
      </c>
      <c r="G337" s="5">
        <v>2</v>
      </c>
      <c r="H337" s="5">
        <v>1</v>
      </c>
      <c r="I337" s="5">
        <v>1058</v>
      </c>
      <c r="J337" s="13">
        <v>800300</v>
      </c>
      <c r="K337" s="15">
        <f t="shared" si="5"/>
        <v>756.42722117202266</v>
      </c>
      <c r="L337" s="5" t="s">
        <v>53</v>
      </c>
      <c r="M337" s="5" t="s">
        <v>17</v>
      </c>
      <c r="N337" s="5" t="s">
        <v>41</v>
      </c>
      <c r="O337" s="5" t="s">
        <v>42</v>
      </c>
    </row>
    <row r="338" spans="1:15" s="4" customFormat="1">
      <c r="A338" s="4">
        <v>337</v>
      </c>
      <c r="B338" s="5" t="s">
        <v>209</v>
      </c>
      <c r="C338" s="3">
        <v>45938</v>
      </c>
      <c r="D338" s="5" t="s">
        <v>21</v>
      </c>
      <c r="E338" s="5" t="s">
        <v>84</v>
      </c>
      <c r="F338" s="5" t="s">
        <v>15</v>
      </c>
      <c r="G338" s="5">
        <v>2</v>
      </c>
      <c r="H338" s="5">
        <v>2</v>
      </c>
      <c r="I338" s="5">
        <v>1056</v>
      </c>
      <c r="J338" s="13">
        <v>1109000</v>
      </c>
      <c r="K338" s="15">
        <f t="shared" si="5"/>
        <v>1050.189393939394</v>
      </c>
      <c r="L338" s="5" t="s">
        <v>24</v>
      </c>
      <c r="M338" s="5" t="s">
        <v>17</v>
      </c>
      <c r="N338" s="5" t="s">
        <v>18</v>
      </c>
      <c r="O338" s="5" t="s">
        <v>37</v>
      </c>
    </row>
    <row r="339" spans="1:15" s="4" customFormat="1">
      <c r="A339" s="4">
        <v>338</v>
      </c>
      <c r="B339" s="5" t="s">
        <v>397</v>
      </c>
      <c r="C339" s="3">
        <v>45886</v>
      </c>
      <c r="D339" s="5" t="s">
        <v>48</v>
      </c>
      <c r="E339" s="5" t="s">
        <v>567</v>
      </c>
      <c r="F339" s="5" t="s">
        <v>15</v>
      </c>
      <c r="G339" s="5">
        <v>2</v>
      </c>
      <c r="H339" s="5">
        <v>2</v>
      </c>
      <c r="I339" s="5">
        <v>1053</v>
      </c>
      <c r="J339" s="13">
        <v>0</v>
      </c>
      <c r="K339" s="15">
        <f t="shared" si="5"/>
        <v>0</v>
      </c>
      <c r="L339" s="5" t="s">
        <v>16</v>
      </c>
      <c r="M339" s="5" t="s">
        <v>17</v>
      </c>
      <c r="N339" s="5" t="s">
        <v>41</v>
      </c>
      <c r="O339" s="5" t="s">
        <v>35</v>
      </c>
    </row>
    <row r="340" spans="1:15" s="4" customFormat="1">
      <c r="A340" s="4">
        <v>339</v>
      </c>
      <c r="B340" s="5" t="s">
        <v>143</v>
      </c>
      <c r="C340" s="3">
        <v>45866</v>
      </c>
      <c r="D340" s="5" t="s">
        <v>48</v>
      </c>
      <c r="E340" s="5" t="s">
        <v>92</v>
      </c>
      <c r="F340" s="5" t="s">
        <v>23</v>
      </c>
      <c r="G340" s="5">
        <v>2</v>
      </c>
      <c r="H340" s="5">
        <v>1</v>
      </c>
      <c r="I340" s="5">
        <v>1053</v>
      </c>
      <c r="J340" s="13">
        <v>653200</v>
      </c>
      <c r="K340" s="15">
        <f t="shared" si="5"/>
        <v>620.32288698955369</v>
      </c>
      <c r="L340" s="5" t="s">
        <v>16</v>
      </c>
      <c r="M340" s="5" t="s">
        <v>29</v>
      </c>
      <c r="N340" s="5" t="s">
        <v>18</v>
      </c>
      <c r="O340" s="5" t="s">
        <v>25</v>
      </c>
    </row>
    <row r="341" spans="1:15" s="4" customFormat="1">
      <c r="A341" s="4">
        <v>340</v>
      </c>
      <c r="B341" s="5" t="s">
        <v>142</v>
      </c>
      <c r="C341" s="3">
        <v>45906</v>
      </c>
      <c r="D341" s="5" t="s">
        <v>48</v>
      </c>
      <c r="E341" s="5" t="s">
        <v>49</v>
      </c>
      <c r="F341" s="5" t="s">
        <v>23</v>
      </c>
      <c r="G341" s="5">
        <v>2</v>
      </c>
      <c r="H341" s="5">
        <v>1</v>
      </c>
      <c r="I341" s="5">
        <v>1045</v>
      </c>
      <c r="J341" s="13">
        <v>764200</v>
      </c>
      <c r="K341" s="15">
        <f t="shared" si="5"/>
        <v>731.29186602870811</v>
      </c>
      <c r="L341" s="5" t="s">
        <v>16</v>
      </c>
      <c r="M341" s="5" t="s">
        <v>29</v>
      </c>
      <c r="N341" s="5" t="s">
        <v>41</v>
      </c>
      <c r="O341" s="5" t="s">
        <v>35</v>
      </c>
    </row>
    <row r="342" spans="1:15" s="4" customFormat="1">
      <c r="A342" s="4">
        <v>341</v>
      </c>
      <c r="B342" s="5" t="s">
        <v>142</v>
      </c>
      <c r="C342" s="3">
        <v>45906</v>
      </c>
      <c r="D342" s="5" t="s">
        <v>48</v>
      </c>
      <c r="E342" s="5" t="s">
        <v>49</v>
      </c>
      <c r="F342" s="5" t="s">
        <v>23</v>
      </c>
      <c r="G342" s="5">
        <v>2</v>
      </c>
      <c r="H342" s="5">
        <v>1</v>
      </c>
      <c r="I342" s="5">
        <v>1045</v>
      </c>
      <c r="J342" s="13">
        <v>764200</v>
      </c>
      <c r="K342" s="15">
        <f t="shared" si="5"/>
        <v>731.29186602870811</v>
      </c>
      <c r="L342" s="5" t="s">
        <v>16</v>
      </c>
      <c r="M342" s="5" t="s">
        <v>29</v>
      </c>
      <c r="N342" s="5" t="s">
        <v>41</v>
      </c>
      <c r="O342" s="5" t="s">
        <v>35</v>
      </c>
    </row>
    <row r="343" spans="1:15" s="4" customFormat="1">
      <c r="A343" s="4">
        <v>342</v>
      </c>
      <c r="B343" s="5" t="s">
        <v>344</v>
      </c>
      <c r="C343" s="3">
        <v>45686</v>
      </c>
      <c r="D343" s="5" t="s">
        <v>39</v>
      </c>
      <c r="E343" s="5" t="s">
        <v>72</v>
      </c>
      <c r="F343" s="5" t="s">
        <v>15</v>
      </c>
      <c r="G343" s="5">
        <v>2</v>
      </c>
      <c r="H343" s="5">
        <v>2</v>
      </c>
      <c r="I343" s="5">
        <v>1025</v>
      </c>
      <c r="J343" s="13">
        <v>557200</v>
      </c>
      <c r="K343" s="15">
        <f t="shared" si="5"/>
        <v>543.60975609756099</v>
      </c>
      <c r="L343" s="5" t="s">
        <v>53</v>
      </c>
      <c r="M343" s="5" t="s">
        <v>29</v>
      </c>
      <c r="N343" s="5" t="s">
        <v>18</v>
      </c>
      <c r="O343" s="5" t="s">
        <v>19</v>
      </c>
    </row>
    <row r="344" spans="1:15" s="4" customFormat="1">
      <c r="A344" s="4">
        <v>343</v>
      </c>
      <c r="B344" s="5" t="s">
        <v>489</v>
      </c>
      <c r="C344" s="3">
        <v>45787</v>
      </c>
      <c r="D344" s="5" t="s">
        <v>48</v>
      </c>
      <c r="E344" s="5" t="s">
        <v>61</v>
      </c>
      <c r="F344" s="5" t="s">
        <v>23</v>
      </c>
      <c r="G344" s="5">
        <v>2</v>
      </c>
      <c r="H344" s="5">
        <v>1</v>
      </c>
      <c r="I344" s="5">
        <v>1025</v>
      </c>
      <c r="J344" s="13">
        <v>741000</v>
      </c>
      <c r="K344" s="15">
        <f t="shared" si="5"/>
        <v>722.92682926829264</v>
      </c>
      <c r="L344" s="5" t="s">
        <v>53</v>
      </c>
      <c r="M344" s="5" t="s">
        <v>17</v>
      </c>
      <c r="N344" s="5" t="s">
        <v>41</v>
      </c>
      <c r="O344" s="5" t="s">
        <v>25</v>
      </c>
    </row>
    <row r="345" spans="1:15" s="4" customFormat="1">
      <c r="A345" s="4">
        <v>344</v>
      </c>
      <c r="B345" s="5" t="s">
        <v>241</v>
      </c>
      <c r="C345" s="3">
        <v>45831</v>
      </c>
      <c r="D345" s="5" t="s">
        <v>48</v>
      </c>
      <c r="E345" s="5" t="s">
        <v>58</v>
      </c>
      <c r="F345" s="5" t="s">
        <v>15</v>
      </c>
      <c r="G345" s="5">
        <v>2</v>
      </c>
      <c r="H345" s="5">
        <v>2</v>
      </c>
      <c r="I345" s="5">
        <v>1019</v>
      </c>
      <c r="J345" s="13">
        <v>653300</v>
      </c>
      <c r="K345" s="15">
        <f t="shared" si="5"/>
        <v>641.11874386653585</v>
      </c>
      <c r="L345" s="5" t="s">
        <v>24</v>
      </c>
      <c r="M345" s="5" t="s">
        <v>17</v>
      </c>
      <c r="N345" s="5" t="s">
        <v>18</v>
      </c>
      <c r="O345" s="5" t="s">
        <v>46</v>
      </c>
    </row>
    <row r="346" spans="1:15" s="4" customFormat="1">
      <c r="A346" s="4">
        <v>345</v>
      </c>
      <c r="B346" s="5" t="s">
        <v>272</v>
      </c>
      <c r="C346" s="3">
        <v>45915</v>
      </c>
      <c r="D346" s="5" t="s">
        <v>21</v>
      </c>
      <c r="E346" s="5" t="s">
        <v>109</v>
      </c>
      <c r="F346" s="5" t="s">
        <v>52</v>
      </c>
      <c r="G346" s="5">
        <v>2</v>
      </c>
      <c r="H346" s="5">
        <v>1</v>
      </c>
      <c r="I346" s="5">
        <v>1019</v>
      </c>
      <c r="J346" s="13">
        <v>910000</v>
      </c>
      <c r="K346" s="15">
        <f t="shared" si="5"/>
        <v>893.03238469087341</v>
      </c>
      <c r="L346" s="5" t="s">
        <v>53</v>
      </c>
      <c r="M346" s="5" t="s">
        <v>29</v>
      </c>
      <c r="N346" s="5" t="s">
        <v>41</v>
      </c>
      <c r="O346" s="5" t="s">
        <v>35</v>
      </c>
    </row>
    <row r="347" spans="1:15" s="4" customFormat="1">
      <c r="A347" s="4">
        <v>346</v>
      </c>
      <c r="B347" s="5" t="s">
        <v>235</v>
      </c>
      <c r="C347" s="3">
        <v>45712</v>
      </c>
      <c r="D347" s="5" t="s">
        <v>32</v>
      </c>
      <c r="E347" s="5" t="s">
        <v>33</v>
      </c>
      <c r="F347" s="5" t="s">
        <v>52</v>
      </c>
      <c r="G347" s="5">
        <v>2</v>
      </c>
      <c r="H347" s="5">
        <v>2</v>
      </c>
      <c r="I347" s="5">
        <v>1017</v>
      </c>
      <c r="J347" s="13">
        <v>326500</v>
      </c>
      <c r="K347" s="15">
        <f t="shared" si="5"/>
        <v>321.04228121927235</v>
      </c>
      <c r="L347" s="5" t="s">
        <v>53</v>
      </c>
      <c r="M347" s="5" t="s">
        <v>29</v>
      </c>
      <c r="N347" s="5" t="s">
        <v>30</v>
      </c>
      <c r="O347" s="5" t="s">
        <v>19</v>
      </c>
    </row>
    <row r="348" spans="1:15" s="4" customFormat="1">
      <c r="A348" s="4">
        <v>347</v>
      </c>
      <c r="B348" s="5" t="s">
        <v>147</v>
      </c>
      <c r="C348" s="3">
        <v>45900</v>
      </c>
      <c r="D348" s="5" t="s">
        <v>14</v>
      </c>
      <c r="E348" s="5" t="s">
        <v>56</v>
      </c>
      <c r="F348" s="5" t="s">
        <v>52</v>
      </c>
      <c r="G348" s="5">
        <v>2</v>
      </c>
      <c r="H348" s="5">
        <v>2</v>
      </c>
      <c r="I348" s="5">
        <v>1014</v>
      </c>
      <c r="J348" s="13">
        <v>522200</v>
      </c>
      <c r="K348" s="15">
        <f t="shared" si="5"/>
        <v>514.99013806706114</v>
      </c>
      <c r="L348" s="5" t="s">
        <v>24</v>
      </c>
      <c r="M348" s="5" t="s">
        <v>17</v>
      </c>
      <c r="N348" s="5" t="s">
        <v>30</v>
      </c>
      <c r="O348" s="5" t="s">
        <v>42</v>
      </c>
    </row>
    <row r="349" spans="1:15" s="4" customFormat="1">
      <c r="A349" s="4">
        <v>348</v>
      </c>
      <c r="B349" s="5" t="s">
        <v>524</v>
      </c>
      <c r="C349" s="3">
        <v>45974</v>
      </c>
      <c r="D349" s="5" t="s">
        <v>14</v>
      </c>
      <c r="E349" s="5" t="s">
        <v>82</v>
      </c>
      <c r="F349" s="5" t="s">
        <v>52</v>
      </c>
      <c r="G349" s="5">
        <v>3</v>
      </c>
      <c r="H349" s="5">
        <v>2</v>
      </c>
      <c r="I349" s="5">
        <v>1008</v>
      </c>
      <c r="J349" s="13">
        <v>612400</v>
      </c>
      <c r="K349" s="15">
        <f t="shared" si="5"/>
        <v>607.53968253968253</v>
      </c>
      <c r="L349" s="5" t="s">
        <v>53</v>
      </c>
      <c r="M349" s="5" t="s">
        <v>17</v>
      </c>
      <c r="N349" s="5" t="s">
        <v>41</v>
      </c>
      <c r="O349" s="5" t="s">
        <v>35</v>
      </c>
    </row>
    <row r="350" spans="1:15" s="4" customFormat="1">
      <c r="A350" s="4">
        <v>349</v>
      </c>
      <c r="B350" s="5" t="s">
        <v>116</v>
      </c>
      <c r="C350" s="3">
        <v>45769</v>
      </c>
      <c r="D350" s="5" t="s">
        <v>44</v>
      </c>
      <c r="E350" s="5" t="s">
        <v>61</v>
      </c>
      <c r="F350" s="5" t="s">
        <v>23</v>
      </c>
      <c r="G350" s="5">
        <v>3</v>
      </c>
      <c r="H350" s="5">
        <v>2</v>
      </c>
      <c r="I350" s="5">
        <v>1007</v>
      </c>
      <c r="J350" s="13">
        <v>416100</v>
      </c>
      <c r="K350" s="15">
        <f t="shared" si="5"/>
        <v>413.20754716981133</v>
      </c>
      <c r="L350" s="5" t="s">
        <v>53</v>
      </c>
      <c r="M350" s="5" t="s">
        <v>17</v>
      </c>
      <c r="N350" s="5" t="s">
        <v>30</v>
      </c>
      <c r="O350" s="5" t="s">
        <v>46</v>
      </c>
    </row>
    <row r="351" spans="1:15" s="4" customFormat="1">
      <c r="A351" s="4">
        <v>350</v>
      </c>
      <c r="B351" s="5" t="s">
        <v>472</v>
      </c>
      <c r="C351" s="3">
        <v>45905</v>
      </c>
      <c r="D351" s="5" t="s">
        <v>39</v>
      </c>
      <c r="E351" s="5" t="s">
        <v>72</v>
      </c>
      <c r="F351" s="5" t="s">
        <v>23</v>
      </c>
      <c r="G351" s="5">
        <v>3</v>
      </c>
      <c r="H351" s="5">
        <v>2</v>
      </c>
      <c r="I351" s="5">
        <v>1006</v>
      </c>
      <c r="J351" s="13">
        <v>609400</v>
      </c>
      <c r="K351" s="15">
        <f t="shared" si="5"/>
        <v>605.76540755467192</v>
      </c>
      <c r="L351" s="5" t="s">
        <v>53</v>
      </c>
      <c r="M351" s="5" t="s">
        <v>29</v>
      </c>
      <c r="N351" s="5" t="s">
        <v>18</v>
      </c>
      <c r="O351" s="5" t="s">
        <v>25</v>
      </c>
    </row>
    <row r="352" spans="1:15" s="4" customFormat="1">
      <c r="A352" s="4">
        <v>351</v>
      </c>
      <c r="B352" s="5" t="s">
        <v>107</v>
      </c>
      <c r="C352" s="3">
        <v>45854</v>
      </c>
      <c r="D352" s="5" t="s">
        <v>32</v>
      </c>
      <c r="E352" s="5" t="s">
        <v>77</v>
      </c>
      <c r="F352" s="5" t="s">
        <v>34</v>
      </c>
      <c r="G352" s="5">
        <v>2</v>
      </c>
      <c r="H352" s="5">
        <v>2</v>
      </c>
      <c r="I352" s="5">
        <v>1004</v>
      </c>
      <c r="J352" s="13">
        <v>310600</v>
      </c>
      <c r="K352" s="15">
        <f t="shared" si="5"/>
        <v>309.36254980079678</v>
      </c>
      <c r="L352" s="5" t="s">
        <v>24</v>
      </c>
      <c r="M352" s="5" t="s">
        <v>29</v>
      </c>
      <c r="N352" s="5" t="s">
        <v>41</v>
      </c>
      <c r="O352" s="5" t="s">
        <v>46</v>
      </c>
    </row>
    <row r="353" spans="1:15" s="4" customFormat="1">
      <c r="A353" s="4">
        <v>352</v>
      </c>
      <c r="B353" s="5" t="s">
        <v>516</v>
      </c>
      <c r="C353" s="3">
        <v>45938</v>
      </c>
      <c r="D353" s="5" t="s">
        <v>14</v>
      </c>
      <c r="E353" s="5" t="s">
        <v>567</v>
      </c>
      <c r="F353" s="5" t="s">
        <v>23</v>
      </c>
      <c r="G353" s="5">
        <v>2</v>
      </c>
      <c r="H353" s="5">
        <v>2</v>
      </c>
      <c r="I353" s="5">
        <v>999</v>
      </c>
      <c r="J353" s="13">
        <v>663000</v>
      </c>
      <c r="K353" s="15">
        <f t="shared" si="5"/>
        <v>663.66366366366367</v>
      </c>
      <c r="L353" s="5" t="s">
        <v>16</v>
      </c>
      <c r="M353" s="5" t="s">
        <v>29</v>
      </c>
      <c r="N353" s="5" t="s">
        <v>30</v>
      </c>
      <c r="O353" s="5" t="s">
        <v>35</v>
      </c>
    </row>
    <row r="354" spans="1:15" s="4" customFormat="1">
      <c r="A354" s="4">
        <v>353</v>
      </c>
      <c r="B354" s="5" t="s">
        <v>402</v>
      </c>
      <c r="C354" s="3">
        <v>45985</v>
      </c>
      <c r="D354" s="5" t="s">
        <v>21</v>
      </c>
      <c r="E354" s="5" t="s">
        <v>67</v>
      </c>
      <c r="F354" s="5" t="s">
        <v>34</v>
      </c>
      <c r="G354" s="5">
        <v>2</v>
      </c>
      <c r="H354" s="5">
        <v>1</v>
      </c>
      <c r="I354" s="5">
        <v>998</v>
      </c>
      <c r="J354" s="13">
        <v>1217800</v>
      </c>
      <c r="K354" s="15">
        <f t="shared" si="5"/>
        <v>1220.2404809619238</v>
      </c>
      <c r="L354" s="5" t="s">
        <v>53</v>
      </c>
      <c r="M354" s="5" t="s">
        <v>17</v>
      </c>
      <c r="N354" s="5" t="s">
        <v>30</v>
      </c>
      <c r="O354" s="5" t="s">
        <v>42</v>
      </c>
    </row>
    <row r="355" spans="1:15" s="4" customFormat="1">
      <c r="A355" s="4">
        <v>354</v>
      </c>
      <c r="B355" s="5" t="s">
        <v>85</v>
      </c>
      <c r="C355" s="3">
        <v>45997</v>
      </c>
      <c r="D355" s="5" t="s">
        <v>44</v>
      </c>
      <c r="E355" s="5" t="s">
        <v>75</v>
      </c>
      <c r="F355" s="5" t="s">
        <v>34</v>
      </c>
      <c r="G355" s="5">
        <v>3</v>
      </c>
      <c r="H355" s="5">
        <v>2</v>
      </c>
      <c r="I355" s="5">
        <v>995</v>
      </c>
      <c r="J355" s="13">
        <v>482000</v>
      </c>
      <c r="K355" s="15">
        <f t="shared" si="5"/>
        <v>484.4221105527638</v>
      </c>
      <c r="L355" s="5" t="s">
        <v>16</v>
      </c>
      <c r="M355" s="5" t="s">
        <v>29</v>
      </c>
      <c r="N355" s="5" t="s">
        <v>30</v>
      </c>
      <c r="O355" s="5" t="s">
        <v>19</v>
      </c>
    </row>
    <row r="356" spans="1:15" s="4" customFormat="1">
      <c r="A356" s="4">
        <v>355</v>
      </c>
      <c r="B356" s="5" t="s">
        <v>294</v>
      </c>
      <c r="C356" s="3">
        <v>46006</v>
      </c>
      <c r="D356" s="5" t="s">
        <v>14</v>
      </c>
      <c r="E356" s="5" t="s">
        <v>82</v>
      </c>
      <c r="F356" s="5" t="s">
        <v>52</v>
      </c>
      <c r="G356" s="5">
        <v>3</v>
      </c>
      <c r="H356" s="5">
        <v>3</v>
      </c>
      <c r="I356" s="5">
        <v>993</v>
      </c>
      <c r="J356" s="13">
        <v>571500</v>
      </c>
      <c r="K356" s="15">
        <f t="shared" si="5"/>
        <v>575.5287009063444</v>
      </c>
      <c r="L356" s="5" t="s">
        <v>24</v>
      </c>
      <c r="M356" s="5" t="s">
        <v>17</v>
      </c>
      <c r="N356" s="5" t="s">
        <v>18</v>
      </c>
      <c r="O356" s="5" t="s">
        <v>35</v>
      </c>
    </row>
    <row r="357" spans="1:15" s="4" customFormat="1">
      <c r="A357" s="4">
        <v>356</v>
      </c>
      <c r="B357" s="5" t="s">
        <v>492</v>
      </c>
      <c r="C357" s="3">
        <v>45863</v>
      </c>
      <c r="D357" s="5" t="s">
        <v>21</v>
      </c>
      <c r="E357" s="5" t="s">
        <v>84</v>
      </c>
      <c r="F357" s="5" t="s">
        <v>34</v>
      </c>
      <c r="G357" s="5">
        <v>2</v>
      </c>
      <c r="H357" s="5">
        <v>2</v>
      </c>
      <c r="I357" s="5">
        <v>991</v>
      </c>
      <c r="J357" s="13">
        <v>1037300</v>
      </c>
      <c r="K357" s="15">
        <f t="shared" si="5"/>
        <v>1046.7204843592331</v>
      </c>
      <c r="L357" s="5" t="s">
        <v>24</v>
      </c>
      <c r="M357" s="5" t="s">
        <v>17</v>
      </c>
      <c r="N357" s="5" t="s">
        <v>41</v>
      </c>
      <c r="O357" s="5" t="s">
        <v>35</v>
      </c>
    </row>
    <row r="358" spans="1:15" s="4" customFormat="1">
      <c r="A358" s="4">
        <v>357</v>
      </c>
      <c r="B358" s="5" t="s">
        <v>403</v>
      </c>
      <c r="C358" s="3">
        <v>45687</v>
      </c>
      <c r="D358" s="5" t="s">
        <v>14</v>
      </c>
      <c r="E358" s="5" t="s">
        <v>82</v>
      </c>
      <c r="F358" s="5" t="s">
        <v>23</v>
      </c>
      <c r="G358" s="5">
        <v>2</v>
      </c>
      <c r="H358" s="5">
        <v>1</v>
      </c>
      <c r="I358" s="5">
        <v>989</v>
      </c>
      <c r="J358" s="13">
        <v>638400</v>
      </c>
      <c r="K358" s="15">
        <f t="shared" si="5"/>
        <v>645.50050556117287</v>
      </c>
      <c r="L358" s="5" t="s">
        <v>24</v>
      </c>
      <c r="M358" s="5" t="s">
        <v>17</v>
      </c>
      <c r="N358" s="5" t="s">
        <v>41</v>
      </c>
      <c r="O358" s="5" t="s">
        <v>37</v>
      </c>
    </row>
    <row r="359" spans="1:15" s="4" customFormat="1">
      <c r="A359" s="4">
        <v>358</v>
      </c>
      <c r="B359" s="5" t="s">
        <v>517</v>
      </c>
      <c r="C359" s="3">
        <v>45993</v>
      </c>
      <c r="D359" s="5" t="s">
        <v>48</v>
      </c>
      <c r="E359" s="5" t="s">
        <v>49</v>
      </c>
      <c r="F359" s="5" t="s">
        <v>15</v>
      </c>
      <c r="G359" s="5">
        <v>2</v>
      </c>
      <c r="H359" s="5">
        <v>1</v>
      </c>
      <c r="I359" s="5">
        <v>987</v>
      </c>
      <c r="J359" s="13">
        <v>591500</v>
      </c>
      <c r="K359" s="15">
        <f t="shared" si="5"/>
        <v>599.29078014184392</v>
      </c>
      <c r="L359" s="5" t="s">
        <v>53</v>
      </c>
      <c r="M359" s="5" t="s">
        <v>17</v>
      </c>
      <c r="N359" s="5" t="s">
        <v>18</v>
      </c>
      <c r="O359" s="5" t="s">
        <v>564</v>
      </c>
    </row>
    <row r="360" spans="1:15" s="4" customFormat="1">
      <c r="A360" s="4">
        <v>359</v>
      </c>
      <c r="B360" s="5" t="s">
        <v>173</v>
      </c>
      <c r="C360" s="3">
        <v>45938</v>
      </c>
      <c r="D360" s="5" t="s">
        <v>44</v>
      </c>
      <c r="E360" s="5" t="s">
        <v>65</v>
      </c>
      <c r="F360" s="5" t="s">
        <v>23</v>
      </c>
      <c r="G360" s="5">
        <v>2</v>
      </c>
      <c r="H360" s="5">
        <v>1</v>
      </c>
      <c r="I360" s="5">
        <v>986</v>
      </c>
      <c r="J360" s="13">
        <v>470000</v>
      </c>
      <c r="K360" s="15">
        <f t="shared" si="5"/>
        <v>476.6734279918864</v>
      </c>
      <c r="L360" s="5" t="s">
        <v>24</v>
      </c>
      <c r="M360" s="5" t="s">
        <v>17</v>
      </c>
      <c r="N360" s="5" t="s">
        <v>30</v>
      </c>
      <c r="O360" s="5" t="s">
        <v>35</v>
      </c>
    </row>
    <row r="361" spans="1:15" s="4" customFormat="1">
      <c r="A361" s="4">
        <v>360</v>
      </c>
      <c r="B361" s="5" t="s">
        <v>545</v>
      </c>
      <c r="C361" s="3">
        <v>45824</v>
      </c>
      <c r="D361" s="5" t="s">
        <v>48</v>
      </c>
      <c r="E361" s="5" t="s">
        <v>69</v>
      </c>
      <c r="F361" s="5" t="s">
        <v>34</v>
      </c>
      <c r="G361" s="5">
        <v>2</v>
      </c>
      <c r="H361" s="5">
        <v>1</v>
      </c>
      <c r="I361" s="5">
        <v>985</v>
      </c>
      <c r="J361" s="13">
        <v>886300</v>
      </c>
      <c r="K361" s="15">
        <f t="shared" si="5"/>
        <v>899.79695431472078</v>
      </c>
      <c r="L361" s="5" t="s">
        <v>53</v>
      </c>
      <c r="M361" s="5" t="s">
        <v>17</v>
      </c>
      <c r="N361" s="5" t="s">
        <v>41</v>
      </c>
      <c r="O361" s="5" t="s">
        <v>564</v>
      </c>
    </row>
    <row r="362" spans="1:15" s="4" customFormat="1">
      <c r="A362" s="4">
        <v>361</v>
      </c>
      <c r="B362" s="5" t="s">
        <v>38</v>
      </c>
      <c r="C362" s="3">
        <v>45794</v>
      </c>
      <c r="D362" s="5" t="s">
        <v>39</v>
      </c>
      <c r="E362" s="5" t="s">
        <v>40</v>
      </c>
      <c r="F362" s="5" t="s">
        <v>23</v>
      </c>
      <c r="G362" s="5">
        <v>2</v>
      </c>
      <c r="H362" s="5">
        <v>2</v>
      </c>
      <c r="I362" s="5">
        <v>984</v>
      </c>
      <c r="J362" s="13">
        <v>517600</v>
      </c>
      <c r="K362" s="15">
        <f t="shared" si="5"/>
        <v>526.01626016260161</v>
      </c>
      <c r="L362" s="5" t="s">
        <v>24</v>
      </c>
      <c r="M362" s="5" t="s">
        <v>29</v>
      </c>
      <c r="N362" s="5" t="s">
        <v>41</v>
      </c>
      <c r="O362" s="5" t="s">
        <v>42</v>
      </c>
    </row>
    <row r="363" spans="1:15" s="4" customFormat="1">
      <c r="A363" s="4">
        <v>362</v>
      </c>
      <c r="B363" s="5" t="s">
        <v>410</v>
      </c>
      <c r="C363" s="3">
        <v>45748</v>
      </c>
      <c r="D363" s="5" t="s">
        <v>27</v>
      </c>
      <c r="E363" s="5" t="s">
        <v>69</v>
      </c>
      <c r="F363" s="5" t="s">
        <v>23</v>
      </c>
      <c r="G363" s="5">
        <v>2</v>
      </c>
      <c r="H363" s="5">
        <v>1</v>
      </c>
      <c r="I363" s="5">
        <v>979</v>
      </c>
      <c r="J363" s="13">
        <v>717800</v>
      </c>
      <c r="K363" s="15">
        <f t="shared" si="5"/>
        <v>733.19713993871301</v>
      </c>
      <c r="L363" s="5" t="s">
        <v>53</v>
      </c>
      <c r="M363" s="5" t="s">
        <v>29</v>
      </c>
      <c r="N363" s="5" t="s">
        <v>18</v>
      </c>
      <c r="O363" s="5" t="s">
        <v>25</v>
      </c>
    </row>
    <row r="364" spans="1:15" s="4" customFormat="1">
      <c r="A364" s="4">
        <v>363</v>
      </c>
      <c r="B364" s="5" t="s">
        <v>223</v>
      </c>
      <c r="C364" s="3">
        <v>45716</v>
      </c>
      <c r="D364" s="5" t="s">
        <v>44</v>
      </c>
      <c r="E364" s="5" t="s">
        <v>100</v>
      </c>
      <c r="F364" s="5" t="s">
        <v>52</v>
      </c>
      <c r="G364" s="5">
        <v>3</v>
      </c>
      <c r="H364" s="5">
        <v>1</v>
      </c>
      <c r="I364" s="5">
        <v>969</v>
      </c>
      <c r="J364" s="13">
        <v>408200</v>
      </c>
      <c r="K364" s="15">
        <f t="shared" si="5"/>
        <v>421.25902992776059</v>
      </c>
      <c r="L364" s="5" t="s">
        <v>16</v>
      </c>
      <c r="M364" s="5" t="s">
        <v>29</v>
      </c>
      <c r="N364" s="5" t="s">
        <v>30</v>
      </c>
      <c r="O364" s="5" t="s">
        <v>35</v>
      </c>
    </row>
    <row r="365" spans="1:15" s="4" customFormat="1">
      <c r="A365" s="4">
        <v>364</v>
      </c>
      <c r="B365" s="5" t="s">
        <v>477</v>
      </c>
      <c r="C365" s="3">
        <v>45966</v>
      </c>
      <c r="D365" s="5" t="s">
        <v>21</v>
      </c>
      <c r="E365" s="5" t="s">
        <v>67</v>
      </c>
      <c r="F365" s="5" t="s">
        <v>23</v>
      </c>
      <c r="G365" s="5">
        <v>2</v>
      </c>
      <c r="H365" s="5">
        <v>2</v>
      </c>
      <c r="I365" s="5">
        <v>966</v>
      </c>
      <c r="J365" s="13">
        <v>914300</v>
      </c>
      <c r="K365" s="15">
        <f t="shared" si="5"/>
        <v>946.48033126294001</v>
      </c>
      <c r="L365" s="5" t="s">
        <v>24</v>
      </c>
      <c r="M365" s="5" t="s">
        <v>17</v>
      </c>
      <c r="N365" s="5" t="s">
        <v>41</v>
      </c>
      <c r="O365" s="5" t="s">
        <v>46</v>
      </c>
    </row>
    <row r="366" spans="1:15" s="4" customFormat="1">
      <c r="A366" s="4">
        <v>365</v>
      </c>
      <c r="B366" s="5" t="s">
        <v>269</v>
      </c>
      <c r="C366" s="3">
        <v>45772</v>
      </c>
      <c r="D366" s="5" t="s">
        <v>21</v>
      </c>
      <c r="E366" s="5" t="s">
        <v>22</v>
      </c>
      <c r="F366" s="5" t="s">
        <v>52</v>
      </c>
      <c r="G366" s="5">
        <v>3</v>
      </c>
      <c r="H366" s="5">
        <v>3</v>
      </c>
      <c r="I366" s="5">
        <v>963</v>
      </c>
      <c r="J366" s="13">
        <v>1034100</v>
      </c>
      <c r="K366" s="15">
        <f t="shared" si="5"/>
        <v>1073.8317757009345</v>
      </c>
      <c r="L366" s="5" t="s">
        <v>16</v>
      </c>
      <c r="M366" s="5" t="s">
        <v>29</v>
      </c>
      <c r="N366" s="5" t="s">
        <v>30</v>
      </c>
      <c r="O366" s="5" t="s">
        <v>25</v>
      </c>
    </row>
    <row r="367" spans="1:15" s="4" customFormat="1">
      <c r="A367" s="4">
        <v>366</v>
      </c>
      <c r="B367" s="5" t="s">
        <v>174</v>
      </c>
      <c r="C367" s="3">
        <v>45993</v>
      </c>
      <c r="D367" s="5" t="s">
        <v>27</v>
      </c>
      <c r="E367" s="5" t="s">
        <v>28</v>
      </c>
      <c r="F367" s="5" t="s">
        <v>52</v>
      </c>
      <c r="G367" s="5">
        <v>3</v>
      </c>
      <c r="H367" s="5">
        <v>2</v>
      </c>
      <c r="I367" s="5">
        <v>959</v>
      </c>
      <c r="J367" s="13">
        <v>642100</v>
      </c>
      <c r="K367" s="15">
        <f t="shared" si="5"/>
        <v>669.55161626694473</v>
      </c>
      <c r="L367" s="5" t="s">
        <v>24</v>
      </c>
      <c r="M367" s="5" t="s">
        <v>29</v>
      </c>
      <c r="N367" s="5" t="s">
        <v>30</v>
      </c>
      <c r="O367" s="5" t="s">
        <v>25</v>
      </c>
    </row>
    <row r="368" spans="1:15" s="4" customFormat="1">
      <c r="A368" s="4">
        <v>367</v>
      </c>
      <c r="B368" s="5" t="s">
        <v>363</v>
      </c>
      <c r="C368" s="3">
        <v>45860</v>
      </c>
      <c r="D368" s="5" t="s">
        <v>21</v>
      </c>
      <c r="E368" s="5" t="s">
        <v>109</v>
      </c>
      <c r="F368" s="5" t="s">
        <v>15</v>
      </c>
      <c r="G368" s="5">
        <v>2</v>
      </c>
      <c r="H368" s="5">
        <v>1</v>
      </c>
      <c r="I368" s="5">
        <v>958</v>
      </c>
      <c r="J368" s="13">
        <v>907300</v>
      </c>
      <c r="K368" s="15">
        <f t="shared" si="5"/>
        <v>947.07724425887261</v>
      </c>
      <c r="L368" s="5" t="s">
        <v>53</v>
      </c>
      <c r="M368" s="5" t="s">
        <v>29</v>
      </c>
      <c r="N368" s="5" t="s">
        <v>30</v>
      </c>
      <c r="O368" s="5" t="s">
        <v>42</v>
      </c>
    </row>
    <row r="369" spans="1:15" s="4" customFormat="1">
      <c r="A369" s="4">
        <v>368</v>
      </c>
      <c r="B369" s="5" t="s">
        <v>216</v>
      </c>
      <c r="C369" s="3">
        <v>45682</v>
      </c>
      <c r="D369" s="5" t="s">
        <v>32</v>
      </c>
      <c r="E369" s="5" t="s">
        <v>112</v>
      </c>
      <c r="F369" s="5" t="s">
        <v>52</v>
      </c>
      <c r="G369" s="5">
        <v>2</v>
      </c>
      <c r="H369" s="5">
        <v>2</v>
      </c>
      <c r="I369" s="5">
        <v>952</v>
      </c>
      <c r="J369" s="13">
        <v>292800</v>
      </c>
      <c r="K369" s="15">
        <f t="shared" si="5"/>
        <v>307.56302521008405</v>
      </c>
      <c r="L369" s="5" t="s">
        <v>16</v>
      </c>
      <c r="M369" s="5" t="s">
        <v>17</v>
      </c>
      <c r="N369" s="5" t="s">
        <v>30</v>
      </c>
      <c r="O369" s="5" t="s">
        <v>19</v>
      </c>
    </row>
    <row r="370" spans="1:15" s="4" customFormat="1">
      <c r="A370" s="4">
        <v>369</v>
      </c>
      <c r="B370" s="5" t="s">
        <v>532</v>
      </c>
      <c r="C370" s="3">
        <v>45831</v>
      </c>
      <c r="D370" s="5" t="s">
        <v>48</v>
      </c>
      <c r="E370" s="5" t="s">
        <v>61</v>
      </c>
      <c r="F370" s="5" t="s">
        <v>23</v>
      </c>
      <c r="G370" s="5">
        <v>2</v>
      </c>
      <c r="H370" s="5">
        <v>2</v>
      </c>
      <c r="I370" s="5">
        <v>951</v>
      </c>
      <c r="J370" s="13">
        <v>711100</v>
      </c>
      <c r="K370" s="15">
        <f t="shared" si="5"/>
        <v>747.73922187171399</v>
      </c>
      <c r="L370" s="5" t="s">
        <v>24</v>
      </c>
      <c r="M370" s="5" t="s">
        <v>29</v>
      </c>
      <c r="N370" s="5" t="s">
        <v>18</v>
      </c>
      <c r="O370" s="5" t="s">
        <v>37</v>
      </c>
    </row>
    <row r="371" spans="1:15" s="4" customFormat="1">
      <c r="A371" s="4">
        <v>370</v>
      </c>
      <c r="B371" s="5" t="s">
        <v>260</v>
      </c>
      <c r="C371" s="3">
        <v>46012</v>
      </c>
      <c r="D371" s="5" t="s">
        <v>14</v>
      </c>
      <c r="E371" s="5" t="s">
        <v>40</v>
      </c>
      <c r="F371" s="5" t="s">
        <v>34</v>
      </c>
      <c r="G371" s="5">
        <v>2</v>
      </c>
      <c r="H371" s="5">
        <v>1</v>
      </c>
      <c r="I371" s="5">
        <v>945</v>
      </c>
      <c r="J371" s="13">
        <v>581500</v>
      </c>
      <c r="K371" s="15">
        <f t="shared" si="5"/>
        <v>615.34391534391534</v>
      </c>
      <c r="L371" s="5" t="s">
        <v>16</v>
      </c>
      <c r="M371" s="5" t="s">
        <v>17</v>
      </c>
      <c r="N371" s="5" t="s">
        <v>41</v>
      </c>
      <c r="O371" s="5" t="s">
        <v>19</v>
      </c>
    </row>
    <row r="372" spans="1:15" s="4" customFormat="1">
      <c r="A372" s="4">
        <v>371</v>
      </c>
      <c r="B372" s="5" t="s">
        <v>60</v>
      </c>
      <c r="C372" s="3">
        <v>45781</v>
      </c>
      <c r="D372" s="5" t="s">
        <v>39</v>
      </c>
      <c r="E372" s="5" t="s">
        <v>61</v>
      </c>
      <c r="F372" s="5" t="s">
        <v>15</v>
      </c>
      <c r="G372" s="5">
        <v>2</v>
      </c>
      <c r="H372" s="5">
        <v>2</v>
      </c>
      <c r="I372" s="5">
        <v>944</v>
      </c>
      <c r="J372" s="13">
        <v>463700</v>
      </c>
      <c r="K372" s="15">
        <f t="shared" si="5"/>
        <v>491.20762711864404</v>
      </c>
      <c r="L372" s="5" t="s">
        <v>24</v>
      </c>
      <c r="M372" s="5" t="s">
        <v>29</v>
      </c>
      <c r="N372" s="5" t="s">
        <v>18</v>
      </c>
      <c r="O372" s="5" t="s">
        <v>42</v>
      </c>
    </row>
    <row r="373" spans="1:15" s="4" customFormat="1">
      <c r="A373" s="4">
        <v>372</v>
      </c>
      <c r="B373" s="5" t="s">
        <v>354</v>
      </c>
      <c r="C373" s="3">
        <v>45924</v>
      </c>
      <c r="D373" s="5" t="s">
        <v>39</v>
      </c>
      <c r="E373" s="5" t="s">
        <v>51</v>
      </c>
      <c r="F373" s="5" t="s">
        <v>15</v>
      </c>
      <c r="G373" s="5">
        <v>2</v>
      </c>
      <c r="H373" s="5">
        <v>1</v>
      </c>
      <c r="I373" s="5">
        <v>940</v>
      </c>
      <c r="J373" s="13">
        <v>460700</v>
      </c>
      <c r="K373" s="15">
        <f t="shared" si="5"/>
        <v>490.10638297872339</v>
      </c>
      <c r="L373" s="5" t="s">
        <v>53</v>
      </c>
      <c r="M373" s="5" t="s">
        <v>17</v>
      </c>
      <c r="N373" s="5" t="s">
        <v>30</v>
      </c>
      <c r="O373" s="5" t="s">
        <v>42</v>
      </c>
    </row>
    <row r="374" spans="1:15" s="4" customFormat="1">
      <c r="A374" s="4">
        <v>373</v>
      </c>
      <c r="B374" s="5" t="s">
        <v>183</v>
      </c>
      <c r="C374" s="3">
        <v>45968</v>
      </c>
      <c r="D374" s="5" t="s">
        <v>21</v>
      </c>
      <c r="E374" s="5" t="s">
        <v>84</v>
      </c>
      <c r="F374" s="5" t="s">
        <v>34</v>
      </c>
      <c r="G374" s="5">
        <v>3</v>
      </c>
      <c r="H374" s="5">
        <v>2</v>
      </c>
      <c r="I374" s="5">
        <v>935</v>
      </c>
      <c r="J374" s="13">
        <v>989400</v>
      </c>
      <c r="K374" s="15">
        <f t="shared" si="5"/>
        <v>1058.1818181818182</v>
      </c>
      <c r="L374" s="5" t="s">
        <v>53</v>
      </c>
      <c r="M374" s="5" t="s">
        <v>17</v>
      </c>
      <c r="N374" s="5" t="s">
        <v>30</v>
      </c>
      <c r="O374" s="5" t="s">
        <v>46</v>
      </c>
    </row>
    <row r="375" spans="1:15" s="4" customFormat="1">
      <c r="A375" s="4">
        <v>374</v>
      </c>
      <c r="B375" s="5" t="s">
        <v>287</v>
      </c>
      <c r="C375" s="3">
        <v>45839</v>
      </c>
      <c r="D375" s="5" t="s">
        <v>21</v>
      </c>
      <c r="E375" s="5" t="s">
        <v>22</v>
      </c>
      <c r="F375" s="5" t="s">
        <v>23</v>
      </c>
      <c r="G375" s="5">
        <v>2</v>
      </c>
      <c r="H375" s="5">
        <v>1</v>
      </c>
      <c r="I375" s="5">
        <v>924</v>
      </c>
      <c r="J375" s="13">
        <v>969000</v>
      </c>
      <c r="K375" s="15">
        <f t="shared" si="5"/>
        <v>1048.7012987012988</v>
      </c>
      <c r="L375" s="5" t="s">
        <v>53</v>
      </c>
      <c r="M375" s="5" t="s">
        <v>17</v>
      </c>
      <c r="N375" s="5" t="s">
        <v>18</v>
      </c>
      <c r="O375" s="5" t="s">
        <v>37</v>
      </c>
    </row>
    <row r="376" spans="1:15" s="4" customFormat="1">
      <c r="A376" s="4">
        <v>375</v>
      </c>
      <c r="B376" s="5" t="s">
        <v>416</v>
      </c>
      <c r="C376" s="3">
        <v>45788</v>
      </c>
      <c r="D376" s="5" t="s">
        <v>21</v>
      </c>
      <c r="E376" s="5" t="s">
        <v>22</v>
      </c>
      <c r="F376" s="5" t="s">
        <v>15</v>
      </c>
      <c r="G376" s="5">
        <v>2</v>
      </c>
      <c r="H376" s="5">
        <v>1</v>
      </c>
      <c r="I376" s="5">
        <v>922</v>
      </c>
      <c r="J376" s="13">
        <v>978100</v>
      </c>
      <c r="K376" s="15">
        <f t="shared" si="5"/>
        <v>1060.8459869848157</v>
      </c>
      <c r="L376" s="5" t="s">
        <v>24</v>
      </c>
      <c r="M376" s="5" t="s">
        <v>29</v>
      </c>
      <c r="N376" s="5" t="s">
        <v>41</v>
      </c>
      <c r="O376" s="5" t="s">
        <v>19</v>
      </c>
    </row>
    <row r="377" spans="1:15" s="4" customFormat="1">
      <c r="A377" s="4">
        <v>376</v>
      </c>
      <c r="B377" s="5" t="s">
        <v>364</v>
      </c>
      <c r="C377" s="3">
        <v>45972</v>
      </c>
      <c r="D377" s="5" t="s">
        <v>39</v>
      </c>
      <c r="E377" s="5" t="s">
        <v>72</v>
      </c>
      <c r="F377" s="5" t="s">
        <v>34</v>
      </c>
      <c r="G377" s="5">
        <v>2</v>
      </c>
      <c r="H377" s="5">
        <v>2</v>
      </c>
      <c r="I377" s="5">
        <v>920</v>
      </c>
      <c r="J377" s="13">
        <v>493000</v>
      </c>
      <c r="K377" s="15">
        <f t="shared" si="5"/>
        <v>535.86956521739125</v>
      </c>
      <c r="L377" s="5" t="s">
        <v>24</v>
      </c>
      <c r="M377" s="5" t="s">
        <v>29</v>
      </c>
      <c r="N377" s="5" t="s">
        <v>41</v>
      </c>
      <c r="O377" s="5" t="s">
        <v>37</v>
      </c>
    </row>
    <row r="378" spans="1:15" s="4" customFormat="1">
      <c r="A378" s="4">
        <v>377</v>
      </c>
      <c r="B378" s="5" t="s">
        <v>509</v>
      </c>
      <c r="C378" s="3">
        <v>45980</v>
      </c>
      <c r="D378" s="5" t="s">
        <v>39</v>
      </c>
      <c r="E378" s="5" t="s">
        <v>61</v>
      </c>
      <c r="F378" s="5" t="s">
        <v>23</v>
      </c>
      <c r="G378" s="5">
        <v>3</v>
      </c>
      <c r="H378" s="5">
        <v>3</v>
      </c>
      <c r="I378" s="5">
        <v>918</v>
      </c>
      <c r="J378" s="13">
        <v>472400</v>
      </c>
      <c r="K378" s="15">
        <f t="shared" si="5"/>
        <v>514.59694989106754</v>
      </c>
      <c r="L378" s="5" t="s">
        <v>24</v>
      </c>
      <c r="M378" s="5" t="s">
        <v>17</v>
      </c>
      <c r="N378" s="5" t="s">
        <v>30</v>
      </c>
      <c r="O378" s="5" t="s">
        <v>37</v>
      </c>
    </row>
    <row r="379" spans="1:15" s="4" customFormat="1">
      <c r="A379" s="4">
        <v>378</v>
      </c>
      <c r="B379" s="5" t="s">
        <v>292</v>
      </c>
      <c r="C379" s="3">
        <v>45934</v>
      </c>
      <c r="D379" s="5" t="s">
        <v>21</v>
      </c>
      <c r="E379" s="5" t="s">
        <v>67</v>
      </c>
      <c r="F379" s="5" t="s">
        <v>23</v>
      </c>
      <c r="G379" s="5">
        <v>3</v>
      </c>
      <c r="H379" s="5">
        <v>3</v>
      </c>
      <c r="I379" s="5">
        <v>918</v>
      </c>
      <c r="J379" s="13">
        <v>1001000</v>
      </c>
      <c r="K379" s="15">
        <f t="shared" si="5"/>
        <v>1090.4139433551197</v>
      </c>
      <c r="L379" s="5" t="s">
        <v>53</v>
      </c>
      <c r="M379" s="5" t="s">
        <v>17</v>
      </c>
      <c r="N379" s="5" t="s">
        <v>41</v>
      </c>
      <c r="O379" s="5" t="s">
        <v>46</v>
      </c>
    </row>
    <row r="380" spans="1:15" s="4" customFormat="1">
      <c r="A380" s="4">
        <v>379</v>
      </c>
      <c r="B380" s="5" t="s">
        <v>381</v>
      </c>
      <c r="C380" s="3">
        <v>45867</v>
      </c>
      <c r="D380" s="5" t="s">
        <v>44</v>
      </c>
      <c r="E380" s="5" t="s">
        <v>65</v>
      </c>
      <c r="F380" s="5" t="s">
        <v>15</v>
      </c>
      <c r="G380" s="5">
        <v>2</v>
      </c>
      <c r="H380" s="5">
        <v>2</v>
      </c>
      <c r="I380" s="5">
        <v>916</v>
      </c>
      <c r="J380" s="13">
        <v>439800</v>
      </c>
      <c r="K380" s="15">
        <f t="shared" si="5"/>
        <v>480.13100436681225</v>
      </c>
      <c r="L380" s="5" t="s">
        <v>24</v>
      </c>
      <c r="M380" s="5" t="s">
        <v>17</v>
      </c>
      <c r="N380" s="5" t="s">
        <v>41</v>
      </c>
      <c r="O380" s="5" t="s">
        <v>37</v>
      </c>
    </row>
    <row r="381" spans="1:15" s="4" customFormat="1">
      <c r="A381" s="4">
        <v>380</v>
      </c>
      <c r="B381" s="5" t="s">
        <v>278</v>
      </c>
      <c r="C381" s="3">
        <v>45828</v>
      </c>
      <c r="D381" s="5" t="s">
        <v>27</v>
      </c>
      <c r="E381" s="5" t="s">
        <v>56</v>
      </c>
      <c r="F381" s="5" t="s">
        <v>15</v>
      </c>
      <c r="G381" s="5">
        <v>2</v>
      </c>
      <c r="H381" s="5">
        <v>1</v>
      </c>
      <c r="I381" s="5">
        <v>914</v>
      </c>
      <c r="J381" s="13">
        <v>645800</v>
      </c>
      <c r="K381" s="15">
        <f t="shared" si="5"/>
        <v>706.56455142231948</v>
      </c>
      <c r="L381" s="5" t="s">
        <v>53</v>
      </c>
      <c r="M381" s="5" t="s">
        <v>29</v>
      </c>
      <c r="N381" s="5" t="s">
        <v>18</v>
      </c>
      <c r="O381" s="5" t="s">
        <v>46</v>
      </c>
    </row>
    <row r="382" spans="1:15" s="4" customFormat="1">
      <c r="A382" s="4">
        <v>381</v>
      </c>
      <c r="B382" s="5" t="s">
        <v>303</v>
      </c>
      <c r="C382" s="3">
        <v>45859</v>
      </c>
      <c r="D382" s="5" t="s">
        <v>14</v>
      </c>
      <c r="E382" s="5" t="s">
        <v>129</v>
      </c>
      <c r="F382" s="5" t="s">
        <v>23</v>
      </c>
      <c r="G382" s="5">
        <v>2</v>
      </c>
      <c r="H382" s="5">
        <v>2</v>
      </c>
      <c r="I382" s="5">
        <v>912</v>
      </c>
      <c r="J382" s="13">
        <v>517700</v>
      </c>
      <c r="K382" s="15">
        <f t="shared" si="5"/>
        <v>567.65350877192986</v>
      </c>
      <c r="L382" s="5" t="s">
        <v>53</v>
      </c>
      <c r="M382" s="5" t="s">
        <v>29</v>
      </c>
      <c r="N382" s="5" t="s">
        <v>41</v>
      </c>
      <c r="O382" s="5" t="s">
        <v>46</v>
      </c>
    </row>
    <row r="383" spans="1:15" s="4" customFormat="1">
      <c r="A383" s="4">
        <v>382</v>
      </c>
      <c r="B383" s="5" t="s">
        <v>345</v>
      </c>
      <c r="C383" s="3">
        <v>45925</v>
      </c>
      <c r="D383" s="5" t="s">
        <v>14</v>
      </c>
      <c r="E383" s="5" t="s">
        <v>56</v>
      </c>
      <c r="F383" s="5" t="s">
        <v>15</v>
      </c>
      <c r="G383" s="5">
        <v>2</v>
      </c>
      <c r="H383" s="5">
        <v>2</v>
      </c>
      <c r="I383" s="5">
        <v>911</v>
      </c>
      <c r="J383" s="13">
        <v>569900</v>
      </c>
      <c r="K383" s="15">
        <f t="shared" si="5"/>
        <v>625.57628979143794</v>
      </c>
      <c r="L383" s="5" t="s">
        <v>24</v>
      </c>
      <c r="M383" s="5" t="s">
        <v>17</v>
      </c>
      <c r="N383" s="5" t="s">
        <v>18</v>
      </c>
      <c r="O383" s="5" t="s">
        <v>37</v>
      </c>
    </row>
    <row r="384" spans="1:15" s="4" customFormat="1">
      <c r="A384" s="4">
        <v>383</v>
      </c>
      <c r="B384" s="5" t="s">
        <v>305</v>
      </c>
      <c r="C384" s="3">
        <v>45874</v>
      </c>
      <c r="D384" s="5" t="s">
        <v>44</v>
      </c>
      <c r="E384" s="5" t="s">
        <v>100</v>
      </c>
      <c r="F384" s="5" t="s">
        <v>23</v>
      </c>
      <c r="G384" s="5">
        <v>2</v>
      </c>
      <c r="H384" s="5">
        <v>1</v>
      </c>
      <c r="I384" s="5">
        <v>908</v>
      </c>
      <c r="J384" s="13">
        <v>379600</v>
      </c>
      <c r="K384" s="15">
        <f t="shared" si="5"/>
        <v>418.0616740088106</v>
      </c>
      <c r="L384" s="5" t="s">
        <v>53</v>
      </c>
      <c r="M384" s="5" t="s">
        <v>29</v>
      </c>
      <c r="N384" s="5" t="s">
        <v>30</v>
      </c>
      <c r="O384" s="5" t="s">
        <v>35</v>
      </c>
    </row>
    <row r="385" spans="1:15" s="4" customFormat="1">
      <c r="A385" s="4">
        <v>384</v>
      </c>
      <c r="B385" s="5" t="s">
        <v>180</v>
      </c>
      <c r="C385" s="3">
        <v>45661</v>
      </c>
      <c r="D385" s="5" t="s">
        <v>48</v>
      </c>
      <c r="E385" s="5" t="s">
        <v>79</v>
      </c>
      <c r="F385" s="5" t="s">
        <v>15</v>
      </c>
      <c r="G385" s="5">
        <v>2</v>
      </c>
      <c r="H385" s="5">
        <v>2</v>
      </c>
      <c r="I385" s="5">
        <v>906</v>
      </c>
      <c r="J385" s="13">
        <v>572300</v>
      </c>
      <c r="K385" s="15">
        <f t="shared" si="5"/>
        <v>631.67770419426051</v>
      </c>
      <c r="L385" s="5" t="s">
        <v>16</v>
      </c>
      <c r="M385" s="5" t="s">
        <v>29</v>
      </c>
      <c r="N385" s="5" t="s">
        <v>41</v>
      </c>
      <c r="O385" s="5" t="s">
        <v>42</v>
      </c>
    </row>
    <row r="386" spans="1:15" s="4" customFormat="1">
      <c r="A386" s="4">
        <v>385</v>
      </c>
      <c r="B386" s="5" t="s">
        <v>108</v>
      </c>
      <c r="C386" s="3">
        <v>45689</v>
      </c>
      <c r="D386" s="5" t="s">
        <v>21</v>
      </c>
      <c r="E386" s="5" t="s">
        <v>109</v>
      </c>
      <c r="F386" s="5" t="s">
        <v>52</v>
      </c>
      <c r="G386" s="5">
        <v>2</v>
      </c>
      <c r="H386" s="5">
        <v>1</v>
      </c>
      <c r="I386" s="5">
        <v>906</v>
      </c>
      <c r="J386" s="13">
        <v>909000</v>
      </c>
      <c r="K386" s="15">
        <f t="shared" ref="K386:K449" si="6">J386/I386</f>
        <v>1003.3112582781457</v>
      </c>
      <c r="L386" s="5" t="s">
        <v>16</v>
      </c>
      <c r="M386" s="5" t="s">
        <v>17</v>
      </c>
      <c r="N386" s="5" t="s">
        <v>30</v>
      </c>
      <c r="O386" s="5" t="s">
        <v>35</v>
      </c>
    </row>
    <row r="387" spans="1:15" s="4" customFormat="1">
      <c r="A387" s="4">
        <v>386</v>
      </c>
      <c r="B387" s="5" t="s">
        <v>86</v>
      </c>
      <c r="C387" s="3">
        <v>45833</v>
      </c>
      <c r="D387" s="5" t="s">
        <v>21</v>
      </c>
      <c r="E387" s="5" t="s">
        <v>22</v>
      </c>
      <c r="F387" s="5" t="s">
        <v>34</v>
      </c>
      <c r="G387" s="5">
        <v>2</v>
      </c>
      <c r="H387" s="5">
        <v>1</v>
      </c>
      <c r="I387" s="5">
        <v>904</v>
      </c>
      <c r="J387" s="13">
        <v>901100</v>
      </c>
      <c r="K387" s="15">
        <f t="shared" si="6"/>
        <v>996.79203539823004</v>
      </c>
      <c r="L387" s="5" t="s">
        <v>16</v>
      </c>
      <c r="M387" s="5" t="s">
        <v>17</v>
      </c>
      <c r="N387" s="5" t="s">
        <v>41</v>
      </c>
      <c r="O387" s="5" t="s">
        <v>25</v>
      </c>
    </row>
    <row r="388" spans="1:15" s="4" customFormat="1">
      <c r="A388" s="4">
        <v>387</v>
      </c>
      <c r="B388" s="5" t="s">
        <v>537</v>
      </c>
      <c r="C388" s="3">
        <v>45933</v>
      </c>
      <c r="D388" s="5" t="s">
        <v>48</v>
      </c>
      <c r="E388" s="5" t="s">
        <v>58</v>
      </c>
      <c r="F388" s="5" t="s">
        <v>23</v>
      </c>
      <c r="G388" s="5">
        <v>2</v>
      </c>
      <c r="H388" s="5">
        <v>1</v>
      </c>
      <c r="I388" s="5">
        <v>901</v>
      </c>
      <c r="J388" s="13">
        <v>567400</v>
      </c>
      <c r="K388" s="15">
        <f t="shared" si="6"/>
        <v>629.74472807991117</v>
      </c>
      <c r="L388" s="5" t="s">
        <v>53</v>
      </c>
      <c r="M388" s="5" t="s">
        <v>29</v>
      </c>
      <c r="N388" s="5" t="s">
        <v>41</v>
      </c>
      <c r="O388" s="5" t="s">
        <v>42</v>
      </c>
    </row>
    <row r="389" spans="1:15" s="4" customFormat="1">
      <c r="A389" s="4">
        <v>388</v>
      </c>
      <c r="B389" s="5" t="s">
        <v>351</v>
      </c>
      <c r="C389" s="3">
        <v>45813</v>
      </c>
      <c r="D389" s="5" t="s">
        <v>27</v>
      </c>
      <c r="E389" s="5" t="s">
        <v>69</v>
      </c>
      <c r="F389" s="5" t="s">
        <v>15</v>
      </c>
      <c r="G389" s="5">
        <v>2</v>
      </c>
      <c r="H389" s="5">
        <v>2</v>
      </c>
      <c r="I389" s="5">
        <v>900</v>
      </c>
      <c r="J389" s="13">
        <v>604000</v>
      </c>
      <c r="K389" s="15">
        <f t="shared" si="6"/>
        <v>671.11111111111109</v>
      </c>
      <c r="L389" s="5" t="s">
        <v>24</v>
      </c>
      <c r="M389" s="5" t="s">
        <v>29</v>
      </c>
      <c r="N389" s="5" t="s">
        <v>30</v>
      </c>
      <c r="O389" s="5" t="s">
        <v>37</v>
      </c>
    </row>
    <row r="390" spans="1:15" s="4" customFormat="1">
      <c r="A390" s="4">
        <v>389</v>
      </c>
      <c r="B390" s="5" t="s">
        <v>351</v>
      </c>
      <c r="C390" s="3">
        <v>45813</v>
      </c>
      <c r="D390" s="5" t="s">
        <v>27</v>
      </c>
      <c r="E390" s="5" t="s">
        <v>69</v>
      </c>
      <c r="F390" s="5" t="s">
        <v>15</v>
      </c>
      <c r="G390" s="5">
        <v>2</v>
      </c>
      <c r="H390" s="5">
        <v>2</v>
      </c>
      <c r="I390" s="5">
        <v>900</v>
      </c>
      <c r="J390" s="13">
        <v>604000</v>
      </c>
      <c r="K390" s="15">
        <f t="shared" si="6"/>
        <v>671.11111111111109</v>
      </c>
      <c r="L390" s="5" t="s">
        <v>24</v>
      </c>
      <c r="M390" s="5" t="s">
        <v>29</v>
      </c>
      <c r="N390" s="5" t="s">
        <v>30</v>
      </c>
      <c r="O390" s="5" t="s">
        <v>37</v>
      </c>
    </row>
    <row r="391" spans="1:15" s="4" customFormat="1">
      <c r="A391" s="4">
        <v>390</v>
      </c>
      <c r="B391" s="5" t="s">
        <v>540</v>
      </c>
      <c r="C391" s="3">
        <v>45764</v>
      </c>
      <c r="D391" s="5" t="s">
        <v>14</v>
      </c>
      <c r="E391" s="5" t="s">
        <v>82</v>
      </c>
      <c r="F391" s="5" t="s">
        <v>15</v>
      </c>
      <c r="G391" s="5">
        <v>2</v>
      </c>
      <c r="H391" s="5">
        <v>2</v>
      </c>
      <c r="I391" s="5">
        <v>898</v>
      </c>
      <c r="J391" s="13">
        <v>558700</v>
      </c>
      <c r="K391" s="15">
        <f t="shared" si="6"/>
        <v>622.16035634743878</v>
      </c>
      <c r="L391" s="5" t="s">
        <v>24</v>
      </c>
      <c r="M391" s="5" t="s">
        <v>17</v>
      </c>
      <c r="N391" s="5" t="s">
        <v>18</v>
      </c>
      <c r="O391" s="5" t="s">
        <v>25</v>
      </c>
    </row>
    <row r="392" spans="1:15" s="4" customFormat="1">
      <c r="A392" s="4">
        <v>391</v>
      </c>
      <c r="B392" s="5" t="s">
        <v>182</v>
      </c>
      <c r="C392" s="3">
        <v>45701</v>
      </c>
      <c r="D392" s="5" t="s">
        <v>39</v>
      </c>
      <c r="E392" s="5" t="s">
        <v>40</v>
      </c>
      <c r="F392" s="5" t="s">
        <v>23</v>
      </c>
      <c r="G392" s="5">
        <v>2</v>
      </c>
      <c r="H392" s="5">
        <v>2</v>
      </c>
      <c r="I392" s="5">
        <v>897</v>
      </c>
      <c r="J392" s="13">
        <v>520500</v>
      </c>
      <c r="K392" s="15">
        <f t="shared" si="6"/>
        <v>580.26755852842814</v>
      </c>
      <c r="L392" s="5" t="s">
        <v>24</v>
      </c>
      <c r="M392" s="5" t="s">
        <v>29</v>
      </c>
      <c r="N392" s="5" t="s">
        <v>18</v>
      </c>
      <c r="O392" s="5" t="s">
        <v>35</v>
      </c>
    </row>
    <row r="393" spans="1:15" s="4" customFormat="1">
      <c r="A393" s="4">
        <v>392</v>
      </c>
      <c r="B393" s="5" t="s">
        <v>221</v>
      </c>
      <c r="C393" s="3">
        <v>45882</v>
      </c>
      <c r="D393" s="5" t="s">
        <v>14</v>
      </c>
      <c r="E393" s="5" t="s">
        <v>56</v>
      </c>
      <c r="F393" s="5" t="s">
        <v>15</v>
      </c>
      <c r="G393" s="5">
        <v>2</v>
      </c>
      <c r="H393" s="5">
        <v>1</v>
      </c>
      <c r="I393" s="5">
        <v>897</v>
      </c>
      <c r="J393" s="13">
        <v>524500</v>
      </c>
      <c r="K393" s="15">
        <f t="shared" si="6"/>
        <v>584.72686733556304</v>
      </c>
      <c r="L393" s="5" t="s">
        <v>16</v>
      </c>
      <c r="M393" s="5" t="s">
        <v>29</v>
      </c>
      <c r="N393" s="5" t="s">
        <v>18</v>
      </c>
      <c r="O393" s="5" t="s">
        <v>46</v>
      </c>
    </row>
    <row r="394" spans="1:15" s="4" customFormat="1">
      <c r="A394" s="4">
        <v>393</v>
      </c>
      <c r="B394" s="5" t="s">
        <v>538</v>
      </c>
      <c r="C394" s="3">
        <v>45692</v>
      </c>
      <c r="D394" s="5" t="s">
        <v>39</v>
      </c>
      <c r="E394" s="5" t="s">
        <v>72</v>
      </c>
      <c r="F394" s="5" t="s">
        <v>34</v>
      </c>
      <c r="G394" s="5">
        <v>2</v>
      </c>
      <c r="H394" s="5">
        <v>2</v>
      </c>
      <c r="I394" s="5">
        <v>897</v>
      </c>
      <c r="J394" s="13">
        <v>533500</v>
      </c>
      <c r="K394" s="15">
        <f t="shared" si="6"/>
        <v>594.76031215161652</v>
      </c>
      <c r="L394" s="5" t="s">
        <v>16</v>
      </c>
      <c r="M394" s="5" t="s">
        <v>29</v>
      </c>
      <c r="N394" s="5" t="s">
        <v>18</v>
      </c>
      <c r="O394" s="5" t="s">
        <v>19</v>
      </c>
    </row>
    <row r="395" spans="1:15" s="4" customFormat="1">
      <c r="A395" s="4">
        <v>394</v>
      </c>
      <c r="B395" s="5" t="s">
        <v>150</v>
      </c>
      <c r="C395" s="3">
        <v>45676</v>
      </c>
      <c r="D395" s="5" t="s">
        <v>48</v>
      </c>
      <c r="E395" s="5" t="s">
        <v>58</v>
      </c>
      <c r="F395" s="5" t="s">
        <v>52</v>
      </c>
      <c r="G395" s="5">
        <v>2</v>
      </c>
      <c r="H395" s="5">
        <v>1</v>
      </c>
      <c r="I395" s="5">
        <v>893</v>
      </c>
      <c r="J395" s="13">
        <v>679900</v>
      </c>
      <c r="K395" s="15">
        <f t="shared" si="6"/>
        <v>761.36618141097426</v>
      </c>
      <c r="L395" s="5" t="s">
        <v>24</v>
      </c>
      <c r="M395" s="5" t="s">
        <v>29</v>
      </c>
      <c r="N395" s="5" t="s">
        <v>18</v>
      </c>
      <c r="O395" s="5" t="s">
        <v>42</v>
      </c>
    </row>
    <row r="396" spans="1:15" s="4" customFormat="1">
      <c r="A396" s="4">
        <v>395</v>
      </c>
      <c r="B396" s="5" t="s">
        <v>114</v>
      </c>
      <c r="C396" s="3">
        <v>45852</v>
      </c>
      <c r="D396" s="5" t="s">
        <v>32</v>
      </c>
      <c r="E396" s="5" t="s">
        <v>77</v>
      </c>
      <c r="F396" s="5" t="s">
        <v>52</v>
      </c>
      <c r="G396" s="5">
        <v>2</v>
      </c>
      <c r="H396" s="5">
        <v>2</v>
      </c>
      <c r="I396" s="5">
        <v>888</v>
      </c>
      <c r="J396" s="13">
        <v>303600</v>
      </c>
      <c r="K396" s="15">
        <f t="shared" si="6"/>
        <v>341.89189189189187</v>
      </c>
      <c r="L396" s="5" t="s">
        <v>53</v>
      </c>
      <c r="M396" s="5" t="s">
        <v>17</v>
      </c>
      <c r="N396" s="5" t="s">
        <v>30</v>
      </c>
      <c r="O396" s="5" t="s">
        <v>19</v>
      </c>
    </row>
    <row r="397" spans="1:15" s="4" customFormat="1">
      <c r="A397" s="4">
        <v>396</v>
      </c>
      <c r="B397" s="5" t="s">
        <v>539</v>
      </c>
      <c r="C397" s="3">
        <v>45986</v>
      </c>
      <c r="D397" s="5" t="s">
        <v>44</v>
      </c>
      <c r="E397" s="5" t="s">
        <v>65</v>
      </c>
      <c r="F397" s="5" t="s">
        <v>52</v>
      </c>
      <c r="G397" s="5">
        <v>2</v>
      </c>
      <c r="H397" s="5">
        <v>2</v>
      </c>
      <c r="I397" s="5">
        <v>885</v>
      </c>
      <c r="J397" s="13">
        <v>346800</v>
      </c>
      <c r="K397" s="15">
        <f t="shared" si="6"/>
        <v>391.86440677966101</v>
      </c>
      <c r="L397" s="5" t="s">
        <v>53</v>
      </c>
      <c r="M397" s="5" t="s">
        <v>17</v>
      </c>
      <c r="N397" s="5" t="s">
        <v>41</v>
      </c>
      <c r="O397" s="5" t="s">
        <v>35</v>
      </c>
    </row>
    <row r="398" spans="1:15" s="4" customFormat="1">
      <c r="A398" s="4">
        <v>397</v>
      </c>
      <c r="B398" s="5" t="s">
        <v>539</v>
      </c>
      <c r="C398" s="3">
        <v>45986</v>
      </c>
      <c r="D398" s="5" t="s">
        <v>44</v>
      </c>
      <c r="E398" s="5" t="s">
        <v>65</v>
      </c>
      <c r="F398" s="5" t="s">
        <v>52</v>
      </c>
      <c r="G398" s="5">
        <v>2</v>
      </c>
      <c r="H398" s="5">
        <v>2</v>
      </c>
      <c r="I398" s="5">
        <v>885</v>
      </c>
      <c r="J398" s="13">
        <v>346800</v>
      </c>
      <c r="K398" s="15">
        <f t="shared" si="6"/>
        <v>391.86440677966101</v>
      </c>
      <c r="L398" s="5" t="s">
        <v>53</v>
      </c>
      <c r="M398" s="5" t="s">
        <v>17</v>
      </c>
      <c r="N398" s="5" t="s">
        <v>41</v>
      </c>
      <c r="O398" s="5" t="s">
        <v>35</v>
      </c>
    </row>
    <row r="399" spans="1:15" s="4" customFormat="1">
      <c r="A399" s="4">
        <v>398</v>
      </c>
      <c r="B399" s="5" t="s">
        <v>219</v>
      </c>
      <c r="C399" s="3">
        <v>45876</v>
      </c>
      <c r="D399" s="5" t="s">
        <v>21</v>
      </c>
      <c r="E399" s="5" t="s">
        <v>67</v>
      </c>
      <c r="F399" s="5" t="s">
        <v>34</v>
      </c>
      <c r="G399" s="5">
        <v>2</v>
      </c>
      <c r="H399" s="5">
        <v>2</v>
      </c>
      <c r="I399" s="5">
        <v>881</v>
      </c>
      <c r="J399" s="13">
        <v>977400</v>
      </c>
      <c r="K399" s="15">
        <f t="shared" si="6"/>
        <v>1109.4211123723042</v>
      </c>
      <c r="L399" s="5" t="s">
        <v>16</v>
      </c>
      <c r="M399" s="5" t="s">
        <v>17</v>
      </c>
      <c r="N399" s="5" t="s">
        <v>30</v>
      </c>
      <c r="O399" s="5" t="s">
        <v>25</v>
      </c>
    </row>
    <row r="400" spans="1:15" s="4" customFormat="1">
      <c r="A400" s="4">
        <v>399</v>
      </c>
      <c r="B400" s="5" t="s">
        <v>337</v>
      </c>
      <c r="C400" s="3">
        <v>45729</v>
      </c>
      <c r="D400" s="5" t="s">
        <v>44</v>
      </c>
      <c r="E400" s="5" t="s">
        <v>65</v>
      </c>
      <c r="F400" s="5" t="s">
        <v>52</v>
      </c>
      <c r="G400" s="5">
        <v>2</v>
      </c>
      <c r="H400" s="5">
        <v>2</v>
      </c>
      <c r="I400" s="5">
        <v>879</v>
      </c>
      <c r="J400" s="13">
        <v>374000</v>
      </c>
      <c r="K400" s="15">
        <f t="shared" si="6"/>
        <v>425.48350398179747</v>
      </c>
      <c r="L400" s="5" t="s">
        <v>16</v>
      </c>
      <c r="M400" s="5" t="s">
        <v>17</v>
      </c>
      <c r="N400" s="5" t="s">
        <v>41</v>
      </c>
      <c r="O400" s="5" t="s">
        <v>19</v>
      </c>
    </row>
    <row r="401" spans="1:15" s="4" customFormat="1">
      <c r="A401" s="4">
        <v>400</v>
      </c>
      <c r="B401" s="5" t="s">
        <v>134</v>
      </c>
      <c r="C401" s="3">
        <v>46009</v>
      </c>
      <c r="D401" s="5" t="s">
        <v>39</v>
      </c>
      <c r="E401" s="5" t="s">
        <v>40</v>
      </c>
      <c r="F401" s="5" t="s">
        <v>15</v>
      </c>
      <c r="G401" s="5">
        <v>2</v>
      </c>
      <c r="H401" s="5">
        <v>2</v>
      </c>
      <c r="I401" s="5">
        <v>878</v>
      </c>
      <c r="J401" s="13">
        <v>457700</v>
      </c>
      <c r="K401" s="15">
        <f t="shared" si="6"/>
        <v>521.29840546697039</v>
      </c>
      <c r="L401" s="5" t="s">
        <v>16</v>
      </c>
      <c r="M401" s="5" t="s">
        <v>17</v>
      </c>
      <c r="N401" s="5" t="s">
        <v>41</v>
      </c>
      <c r="O401" s="5" t="s">
        <v>35</v>
      </c>
    </row>
    <row r="402" spans="1:15" s="4" customFormat="1">
      <c r="A402" s="4">
        <v>401</v>
      </c>
      <c r="B402" s="5" t="s">
        <v>521</v>
      </c>
      <c r="C402" s="3">
        <v>45662</v>
      </c>
      <c r="D402" s="5" t="s">
        <v>21</v>
      </c>
      <c r="E402" s="5" t="s">
        <v>84</v>
      </c>
      <c r="F402" s="5" t="s">
        <v>23</v>
      </c>
      <c r="G402" s="5">
        <v>2</v>
      </c>
      <c r="H402" s="5">
        <v>2</v>
      </c>
      <c r="I402" s="5">
        <v>873</v>
      </c>
      <c r="J402" s="13">
        <v>901700</v>
      </c>
      <c r="K402" s="15">
        <f t="shared" si="6"/>
        <v>1032.8751431844216</v>
      </c>
      <c r="L402" s="5" t="s">
        <v>24</v>
      </c>
      <c r="M402" s="5" t="s">
        <v>17</v>
      </c>
      <c r="N402" s="5" t="s">
        <v>30</v>
      </c>
      <c r="O402" s="5" t="s">
        <v>37</v>
      </c>
    </row>
    <row r="403" spans="1:15" s="4" customFormat="1">
      <c r="A403" s="4">
        <v>402</v>
      </c>
      <c r="B403" s="5" t="s">
        <v>408</v>
      </c>
      <c r="C403" s="3">
        <v>45975</v>
      </c>
      <c r="D403" s="5" t="s">
        <v>32</v>
      </c>
      <c r="E403" s="5" t="s">
        <v>33</v>
      </c>
      <c r="F403" s="5" t="s">
        <v>34</v>
      </c>
      <c r="G403" s="5">
        <v>3</v>
      </c>
      <c r="H403" s="5">
        <v>3</v>
      </c>
      <c r="I403" s="5">
        <v>870</v>
      </c>
      <c r="J403" s="13">
        <v>303300</v>
      </c>
      <c r="K403" s="15">
        <f t="shared" si="6"/>
        <v>348.62068965517244</v>
      </c>
      <c r="L403" s="5" t="s">
        <v>16</v>
      </c>
      <c r="M403" s="5" t="s">
        <v>17</v>
      </c>
      <c r="N403" s="5" t="s">
        <v>18</v>
      </c>
      <c r="O403" s="5" t="s">
        <v>35</v>
      </c>
    </row>
    <row r="404" spans="1:15" s="4" customFormat="1">
      <c r="A404" s="4">
        <v>403</v>
      </c>
      <c r="B404" s="5" t="s">
        <v>295</v>
      </c>
      <c r="C404" s="3">
        <v>46022</v>
      </c>
      <c r="D404" s="5" t="s">
        <v>32</v>
      </c>
      <c r="E404" s="5" t="s">
        <v>77</v>
      </c>
      <c r="F404" s="5" t="s">
        <v>15</v>
      </c>
      <c r="G404" s="5">
        <v>1</v>
      </c>
      <c r="H404" s="5">
        <v>1</v>
      </c>
      <c r="I404" s="5">
        <v>869</v>
      </c>
      <c r="J404" s="13">
        <v>240300</v>
      </c>
      <c r="K404" s="15">
        <f t="shared" si="6"/>
        <v>276.5247410817031</v>
      </c>
      <c r="L404" s="5" t="s">
        <v>24</v>
      </c>
      <c r="M404" s="5" t="s">
        <v>29</v>
      </c>
      <c r="N404" s="5" t="s">
        <v>41</v>
      </c>
      <c r="O404" s="5" t="s">
        <v>25</v>
      </c>
    </row>
    <row r="405" spans="1:15" s="4" customFormat="1">
      <c r="A405" s="4">
        <v>404</v>
      </c>
      <c r="B405" s="5" t="s">
        <v>282</v>
      </c>
      <c r="C405" s="3">
        <v>45913</v>
      </c>
      <c r="D405" s="5" t="s">
        <v>27</v>
      </c>
      <c r="E405" s="5" t="s">
        <v>69</v>
      </c>
      <c r="F405" s="5" t="s">
        <v>34</v>
      </c>
      <c r="G405" s="5">
        <v>3</v>
      </c>
      <c r="H405" s="5">
        <v>2</v>
      </c>
      <c r="I405" s="5">
        <v>869</v>
      </c>
      <c r="J405" s="13">
        <v>752800</v>
      </c>
      <c r="K405" s="15">
        <f t="shared" si="6"/>
        <v>866.28308400460298</v>
      </c>
      <c r="L405" s="5" t="s">
        <v>24</v>
      </c>
      <c r="M405" s="5" t="s">
        <v>17</v>
      </c>
      <c r="N405" s="5" t="s">
        <v>30</v>
      </c>
      <c r="O405" s="5" t="s">
        <v>25</v>
      </c>
    </row>
    <row r="406" spans="1:15" s="4" customFormat="1">
      <c r="A406" s="4">
        <v>405</v>
      </c>
      <c r="B406" s="5" t="s">
        <v>301</v>
      </c>
      <c r="C406" s="3">
        <v>45826</v>
      </c>
      <c r="D406" s="5" t="s">
        <v>32</v>
      </c>
      <c r="E406" s="5" t="s">
        <v>61</v>
      </c>
      <c r="F406" s="5" t="s">
        <v>52</v>
      </c>
      <c r="G406" s="5">
        <v>2</v>
      </c>
      <c r="H406" s="5">
        <v>1</v>
      </c>
      <c r="I406" s="5">
        <v>856</v>
      </c>
      <c r="J406" s="13">
        <v>264900</v>
      </c>
      <c r="K406" s="15">
        <f t="shared" si="6"/>
        <v>309.46261682242988</v>
      </c>
      <c r="L406" s="5" t="s">
        <v>53</v>
      </c>
      <c r="M406" s="5" t="s">
        <v>17</v>
      </c>
      <c r="N406" s="5" t="s">
        <v>30</v>
      </c>
      <c r="O406" s="5" t="s">
        <v>42</v>
      </c>
    </row>
    <row r="407" spans="1:15" s="4" customFormat="1">
      <c r="A407" s="4">
        <v>406</v>
      </c>
      <c r="B407" s="5" t="s">
        <v>226</v>
      </c>
      <c r="C407" s="3">
        <v>45843</v>
      </c>
      <c r="D407" s="5" t="s">
        <v>14</v>
      </c>
      <c r="E407" s="5" t="s">
        <v>567</v>
      </c>
      <c r="F407" s="5" t="s">
        <v>34</v>
      </c>
      <c r="G407" s="5">
        <v>2</v>
      </c>
      <c r="H407" s="5">
        <v>2</v>
      </c>
      <c r="I407" s="5">
        <v>856</v>
      </c>
      <c r="J407" s="13">
        <v>554800</v>
      </c>
      <c r="K407" s="15">
        <f t="shared" si="6"/>
        <v>648.13084112149534</v>
      </c>
      <c r="L407" s="5" t="s">
        <v>24</v>
      </c>
      <c r="M407" s="5" t="s">
        <v>29</v>
      </c>
      <c r="N407" s="5" t="s">
        <v>18</v>
      </c>
      <c r="O407" s="5" t="s">
        <v>46</v>
      </c>
    </row>
    <row r="408" spans="1:15" s="4" customFormat="1">
      <c r="A408" s="4">
        <v>407</v>
      </c>
      <c r="B408" s="5" t="s">
        <v>214</v>
      </c>
      <c r="C408" s="3">
        <v>46008</v>
      </c>
      <c r="D408" s="5" t="s">
        <v>14</v>
      </c>
      <c r="E408" s="5" t="s">
        <v>567</v>
      </c>
      <c r="F408" s="5" t="s">
        <v>34</v>
      </c>
      <c r="G408" s="5">
        <v>2</v>
      </c>
      <c r="H408" s="5">
        <v>2</v>
      </c>
      <c r="I408" s="5">
        <v>856</v>
      </c>
      <c r="J408" s="13">
        <v>555500</v>
      </c>
      <c r="K408" s="15">
        <f t="shared" si="6"/>
        <v>648.94859813084111</v>
      </c>
      <c r="L408" s="5" t="s">
        <v>53</v>
      </c>
      <c r="M408" s="5" t="s">
        <v>17</v>
      </c>
      <c r="N408" s="5" t="s">
        <v>41</v>
      </c>
      <c r="O408" s="5" t="s">
        <v>46</v>
      </c>
    </row>
    <row r="409" spans="1:15" s="4" customFormat="1">
      <c r="A409" s="4">
        <v>408</v>
      </c>
      <c r="B409" s="5" t="s">
        <v>393</v>
      </c>
      <c r="C409" s="3">
        <v>46008</v>
      </c>
      <c r="D409" s="5" t="s">
        <v>48</v>
      </c>
      <c r="E409" s="5" t="s">
        <v>58</v>
      </c>
      <c r="F409" s="5" t="s">
        <v>34</v>
      </c>
      <c r="G409" s="5">
        <v>2</v>
      </c>
      <c r="H409" s="5">
        <v>2</v>
      </c>
      <c r="I409" s="5">
        <v>851</v>
      </c>
      <c r="J409" s="13">
        <v>688700</v>
      </c>
      <c r="K409" s="15">
        <f t="shared" si="6"/>
        <v>809.283196239718</v>
      </c>
      <c r="L409" s="5" t="s">
        <v>16</v>
      </c>
      <c r="M409" s="5" t="s">
        <v>29</v>
      </c>
      <c r="N409" s="5" t="s">
        <v>18</v>
      </c>
      <c r="O409" s="5" t="s">
        <v>37</v>
      </c>
    </row>
    <row r="410" spans="1:15" s="4" customFormat="1">
      <c r="A410" s="4">
        <v>409</v>
      </c>
      <c r="B410" s="5" t="s">
        <v>506</v>
      </c>
      <c r="C410" s="3">
        <v>45779</v>
      </c>
      <c r="D410" s="5" t="s">
        <v>44</v>
      </c>
      <c r="E410" s="5" t="s">
        <v>92</v>
      </c>
      <c r="F410" s="5" t="s">
        <v>15</v>
      </c>
      <c r="G410" s="5">
        <v>2</v>
      </c>
      <c r="H410" s="5">
        <v>2</v>
      </c>
      <c r="I410" s="5">
        <v>849</v>
      </c>
      <c r="J410" s="13">
        <v>366600</v>
      </c>
      <c r="K410" s="15">
        <f t="shared" si="6"/>
        <v>431.80212014134275</v>
      </c>
      <c r="L410" s="5" t="s">
        <v>53</v>
      </c>
      <c r="M410" s="5" t="s">
        <v>17</v>
      </c>
      <c r="N410" s="5" t="s">
        <v>41</v>
      </c>
      <c r="O410" s="5" t="s">
        <v>37</v>
      </c>
    </row>
    <row r="411" spans="1:15" s="4" customFormat="1">
      <c r="A411" s="4">
        <v>410</v>
      </c>
      <c r="B411" s="5" t="s">
        <v>259</v>
      </c>
      <c r="C411" s="3">
        <v>45785</v>
      </c>
      <c r="D411" s="5" t="s">
        <v>14</v>
      </c>
      <c r="E411" s="5" t="s">
        <v>67</v>
      </c>
      <c r="F411" s="5" t="s">
        <v>23</v>
      </c>
      <c r="G411" s="5">
        <v>2</v>
      </c>
      <c r="H411" s="5">
        <v>2</v>
      </c>
      <c r="I411" s="5">
        <v>843</v>
      </c>
      <c r="J411" s="13">
        <v>484400</v>
      </c>
      <c r="K411" s="15">
        <f t="shared" si="6"/>
        <v>574.61447212336896</v>
      </c>
      <c r="L411" s="5" t="s">
        <v>16</v>
      </c>
      <c r="M411" s="5" t="s">
        <v>17</v>
      </c>
      <c r="N411" s="5" t="s">
        <v>30</v>
      </c>
      <c r="O411" s="5" t="s">
        <v>46</v>
      </c>
    </row>
    <row r="412" spans="1:15" s="4" customFormat="1">
      <c r="A412" s="4">
        <v>411</v>
      </c>
      <c r="B412" s="5" t="s">
        <v>225</v>
      </c>
      <c r="C412" s="3">
        <v>45702</v>
      </c>
      <c r="D412" s="5" t="s">
        <v>48</v>
      </c>
      <c r="E412" s="5" t="s">
        <v>49</v>
      </c>
      <c r="F412" s="5" t="s">
        <v>52</v>
      </c>
      <c r="G412" s="5">
        <v>2</v>
      </c>
      <c r="H412" s="5">
        <v>1</v>
      </c>
      <c r="I412" s="5">
        <v>836</v>
      </c>
      <c r="J412" s="13">
        <v>570700</v>
      </c>
      <c r="K412" s="15">
        <f t="shared" si="6"/>
        <v>682.65550239234449</v>
      </c>
      <c r="L412" s="5" t="s">
        <v>24</v>
      </c>
      <c r="M412" s="5" t="s">
        <v>17</v>
      </c>
      <c r="N412" s="5" t="s">
        <v>41</v>
      </c>
      <c r="O412" s="5" t="s">
        <v>37</v>
      </c>
    </row>
    <row r="413" spans="1:15" s="4" customFormat="1">
      <c r="A413" s="4">
        <v>412</v>
      </c>
      <c r="B413" s="5" t="s">
        <v>281</v>
      </c>
      <c r="C413" s="3">
        <v>45946</v>
      </c>
      <c r="D413" s="5" t="s">
        <v>48</v>
      </c>
      <c r="E413" s="5" t="s">
        <v>58</v>
      </c>
      <c r="F413" s="5" t="s">
        <v>23</v>
      </c>
      <c r="G413" s="5">
        <v>2</v>
      </c>
      <c r="H413" s="5">
        <v>2</v>
      </c>
      <c r="I413" s="5">
        <v>831</v>
      </c>
      <c r="J413" s="13">
        <v>578600</v>
      </c>
      <c r="K413" s="15">
        <f t="shared" si="6"/>
        <v>696.26955475330931</v>
      </c>
      <c r="L413" s="5" t="s">
        <v>16</v>
      </c>
      <c r="M413" s="5" t="s">
        <v>29</v>
      </c>
      <c r="N413" s="5" t="s">
        <v>18</v>
      </c>
      <c r="O413" s="5" t="s">
        <v>37</v>
      </c>
    </row>
    <row r="414" spans="1:15" s="4" customFormat="1">
      <c r="A414" s="4">
        <v>413</v>
      </c>
      <c r="B414" s="5" t="s">
        <v>463</v>
      </c>
      <c r="C414" s="3">
        <v>45787</v>
      </c>
      <c r="D414" s="5" t="s">
        <v>14</v>
      </c>
      <c r="E414" s="5" t="s">
        <v>56</v>
      </c>
      <c r="F414" s="5" t="s">
        <v>23</v>
      </c>
      <c r="G414" s="5">
        <v>2</v>
      </c>
      <c r="H414" s="5">
        <v>2</v>
      </c>
      <c r="I414" s="5">
        <v>828</v>
      </c>
      <c r="J414" s="13">
        <v>514700</v>
      </c>
      <c r="K414" s="15">
        <f t="shared" si="6"/>
        <v>621.61835748792271</v>
      </c>
      <c r="L414" s="5" t="s">
        <v>16</v>
      </c>
      <c r="M414" s="5" t="s">
        <v>29</v>
      </c>
      <c r="N414" s="5" t="s">
        <v>18</v>
      </c>
      <c r="O414" s="5" t="s">
        <v>42</v>
      </c>
    </row>
    <row r="415" spans="1:15" s="4" customFormat="1">
      <c r="A415" s="4">
        <v>414</v>
      </c>
      <c r="B415" s="5" t="s">
        <v>89</v>
      </c>
      <c r="C415" s="3">
        <v>45678</v>
      </c>
      <c r="D415" s="5" t="s">
        <v>27</v>
      </c>
      <c r="E415" s="5" t="s">
        <v>79</v>
      </c>
      <c r="F415" s="5" t="s">
        <v>52</v>
      </c>
      <c r="G415" s="5">
        <v>2</v>
      </c>
      <c r="H415" s="5">
        <v>2</v>
      </c>
      <c r="I415" s="5">
        <v>818</v>
      </c>
      <c r="J415" s="13">
        <v>658300</v>
      </c>
      <c r="K415" s="15">
        <f t="shared" si="6"/>
        <v>804.76772616136918</v>
      </c>
      <c r="L415" s="5" t="s">
        <v>53</v>
      </c>
      <c r="M415" s="5" t="s">
        <v>29</v>
      </c>
      <c r="N415" s="5" t="s">
        <v>41</v>
      </c>
      <c r="O415" s="5" t="s">
        <v>46</v>
      </c>
    </row>
    <row r="416" spans="1:15" s="4" customFormat="1">
      <c r="A416" s="4">
        <v>415</v>
      </c>
      <c r="B416" s="5" t="s">
        <v>153</v>
      </c>
      <c r="C416" s="3">
        <v>45853</v>
      </c>
      <c r="D416" s="5" t="s">
        <v>48</v>
      </c>
      <c r="E416" s="5" t="s">
        <v>92</v>
      </c>
      <c r="F416" s="5" t="s">
        <v>23</v>
      </c>
      <c r="G416" s="5">
        <v>2</v>
      </c>
      <c r="H416" s="5">
        <v>2</v>
      </c>
      <c r="I416" s="5">
        <v>813</v>
      </c>
      <c r="J416" s="13">
        <v>596200</v>
      </c>
      <c r="K416" s="15">
        <f t="shared" si="6"/>
        <v>733.33333333333337</v>
      </c>
      <c r="L416" s="5" t="s">
        <v>24</v>
      </c>
      <c r="M416" s="5" t="s">
        <v>29</v>
      </c>
      <c r="N416" s="5" t="s">
        <v>30</v>
      </c>
      <c r="O416" s="5" t="s">
        <v>35</v>
      </c>
    </row>
    <row r="417" spans="1:15" s="4" customFormat="1">
      <c r="A417" s="4">
        <v>416</v>
      </c>
      <c r="B417" s="5" t="s">
        <v>557</v>
      </c>
      <c r="C417" s="3">
        <v>45814</v>
      </c>
      <c r="D417" s="5" t="s">
        <v>32</v>
      </c>
      <c r="E417" s="5" t="s">
        <v>77</v>
      </c>
      <c r="F417" s="5" t="s">
        <v>34</v>
      </c>
      <c r="G417" s="5">
        <v>2</v>
      </c>
      <c r="H417" s="5">
        <v>1</v>
      </c>
      <c r="I417" s="5">
        <v>800</v>
      </c>
      <c r="J417" s="13">
        <v>284100</v>
      </c>
      <c r="K417" s="15">
        <f t="shared" si="6"/>
        <v>355.125</v>
      </c>
      <c r="L417" s="5" t="s">
        <v>16</v>
      </c>
      <c r="M417" s="5" t="s">
        <v>17</v>
      </c>
      <c r="N417" s="5" t="s">
        <v>41</v>
      </c>
      <c r="O417" s="5" t="s">
        <v>25</v>
      </c>
    </row>
    <row r="418" spans="1:15" s="4" customFormat="1">
      <c r="A418" s="4">
        <v>417</v>
      </c>
      <c r="B418" s="5" t="s">
        <v>375</v>
      </c>
      <c r="C418" s="3">
        <v>45971</v>
      </c>
      <c r="D418" s="5" t="s">
        <v>14</v>
      </c>
      <c r="E418" s="5" t="s">
        <v>129</v>
      </c>
      <c r="F418" s="5" t="s">
        <v>15</v>
      </c>
      <c r="G418" s="5">
        <v>2</v>
      </c>
      <c r="H418" s="5">
        <v>1</v>
      </c>
      <c r="I418" s="5">
        <v>796</v>
      </c>
      <c r="J418" s="13">
        <v>422900</v>
      </c>
      <c r="K418" s="15">
        <f t="shared" si="6"/>
        <v>531.2814070351759</v>
      </c>
      <c r="L418" s="5" t="s">
        <v>16</v>
      </c>
      <c r="M418" s="5" t="s">
        <v>29</v>
      </c>
      <c r="N418" s="5" t="s">
        <v>30</v>
      </c>
      <c r="O418" s="5" t="s">
        <v>46</v>
      </c>
    </row>
    <row r="419" spans="1:15" s="4" customFormat="1">
      <c r="A419" s="4">
        <v>418</v>
      </c>
      <c r="B419" s="5" t="s">
        <v>514</v>
      </c>
      <c r="C419" s="3">
        <v>45860</v>
      </c>
      <c r="D419" s="5" t="s">
        <v>44</v>
      </c>
      <c r="E419" s="5" t="s">
        <v>72</v>
      </c>
      <c r="F419" s="5" t="s">
        <v>23</v>
      </c>
      <c r="G419" s="5">
        <v>2</v>
      </c>
      <c r="H419" s="5">
        <v>2</v>
      </c>
      <c r="I419" s="5">
        <v>795</v>
      </c>
      <c r="J419" s="13">
        <v>376300</v>
      </c>
      <c r="K419" s="15">
        <f t="shared" si="6"/>
        <v>473.33333333333331</v>
      </c>
      <c r="L419" s="5" t="s">
        <v>53</v>
      </c>
      <c r="M419" s="5" t="s">
        <v>17</v>
      </c>
      <c r="N419" s="5" t="s">
        <v>30</v>
      </c>
      <c r="O419" s="5" t="s">
        <v>42</v>
      </c>
    </row>
    <row r="420" spans="1:15" s="4" customFormat="1">
      <c r="A420" s="4">
        <v>419</v>
      </c>
      <c r="B420" s="5" t="s">
        <v>191</v>
      </c>
      <c r="C420" s="3">
        <v>45993</v>
      </c>
      <c r="D420" s="5" t="s">
        <v>44</v>
      </c>
      <c r="E420" s="5" t="s">
        <v>100</v>
      </c>
      <c r="F420" s="5" t="s">
        <v>23</v>
      </c>
      <c r="G420" s="5">
        <v>2</v>
      </c>
      <c r="H420" s="5">
        <v>1</v>
      </c>
      <c r="I420" s="5">
        <v>793</v>
      </c>
      <c r="J420" s="13">
        <v>331400</v>
      </c>
      <c r="K420" s="15">
        <f t="shared" si="6"/>
        <v>417.90668348045398</v>
      </c>
      <c r="L420" s="5" t="s">
        <v>16</v>
      </c>
      <c r="M420" s="5" t="s">
        <v>29</v>
      </c>
      <c r="N420" s="5" t="s">
        <v>41</v>
      </c>
      <c r="O420" s="5" t="s">
        <v>25</v>
      </c>
    </row>
    <row r="421" spans="1:15" s="4" customFormat="1">
      <c r="A421" s="4">
        <v>420</v>
      </c>
      <c r="B421" s="5" t="s">
        <v>469</v>
      </c>
      <c r="C421" s="3">
        <v>45955</v>
      </c>
      <c r="D421" s="5" t="s">
        <v>14</v>
      </c>
      <c r="E421" s="5" t="s">
        <v>567</v>
      </c>
      <c r="F421" s="5" t="s">
        <v>15</v>
      </c>
      <c r="G421" s="5">
        <v>1</v>
      </c>
      <c r="H421" s="5">
        <v>1</v>
      </c>
      <c r="I421" s="5">
        <v>792</v>
      </c>
      <c r="J421" s="13">
        <v>457600</v>
      </c>
      <c r="K421" s="15">
        <f t="shared" si="6"/>
        <v>577.77777777777783</v>
      </c>
      <c r="L421" s="5" t="s">
        <v>24</v>
      </c>
      <c r="M421" s="5" t="s">
        <v>17</v>
      </c>
      <c r="N421" s="5" t="s">
        <v>41</v>
      </c>
      <c r="O421" s="5" t="s">
        <v>46</v>
      </c>
    </row>
    <row r="422" spans="1:15" s="4" customFormat="1">
      <c r="A422" s="4">
        <v>421</v>
      </c>
      <c r="B422" s="5" t="s">
        <v>240</v>
      </c>
      <c r="C422" s="3">
        <v>45805</v>
      </c>
      <c r="D422" s="5" t="s">
        <v>48</v>
      </c>
      <c r="E422" s="5" t="s">
        <v>61</v>
      </c>
      <c r="F422" s="5" t="s">
        <v>34</v>
      </c>
      <c r="G422" s="5">
        <v>1</v>
      </c>
      <c r="H422" s="5">
        <v>1</v>
      </c>
      <c r="I422" s="5">
        <v>792</v>
      </c>
      <c r="J422" s="13">
        <v>563800</v>
      </c>
      <c r="K422" s="15">
        <f t="shared" si="6"/>
        <v>711.86868686868684</v>
      </c>
      <c r="L422" s="5" t="s">
        <v>16</v>
      </c>
      <c r="M422" s="5" t="s">
        <v>17</v>
      </c>
      <c r="N422" s="5" t="s">
        <v>41</v>
      </c>
      <c r="O422" s="5" t="s">
        <v>25</v>
      </c>
    </row>
    <row r="423" spans="1:15" s="4" customFormat="1">
      <c r="A423" s="4">
        <v>422</v>
      </c>
      <c r="B423" s="5" t="s">
        <v>246</v>
      </c>
      <c r="C423" s="3">
        <v>45762</v>
      </c>
      <c r="D423" s="5" t="s">
        <v>32</v>
      </c>
      <c r="E423" s="5" t="s">
        <v>65</v>
      </c>
      <c r="F423" s="5" t="s">
        <v>15</v>
      </c>
      <c r="G423" s="5">
        <v>2</v>
      </c>
      <c r="H423" s="5">
        <v>2</v>
      </c>
      <c r="I423" s="5">
        <v>783</v>
      </c>
      <c r="J423" s="13">
        <v>326100</v>
      </c>
      <c r="K423" s="15">
        <f t="shared" si="6"/>
        <v>416.4750957854406</v>
      </c>
      <c r="L423" s="5" t="s">
        <v>53</v>
      </c>
      <c r="M423" s="5" t="s">
        <v>17</v>
      </c>
      <c r="N423" s="5" t="s">
        <v>41</v>
      </c>
      <c r="O423" s="5" t="s">
        <v>42</v>
      </c>
    </row>
    <row r="424" spans="1:15" s="4" customFormat="1">
      <c r="A424" s="4">
        <v>423</v>
      </c>
      <c r="B424" s="5" t="s">
        <v>267</v>
      </c>
      <c r="C424" s="3">
        <v>45867</v>
      </c>
      <c r="D424" s="5" t="s">
        <v>14</v>
      </c>
      <c r="E424" s="5" t="s">
        <v>567</v>
      </c>
      <c r="F424" s="5" t="s">
        <v>15</v>
      </c>
      <c r="G424" s="5">
        <v>1</v>
      </c>
      <c r="H424" s="5">
        <v>1</v>
      </c>
      <c r="I424" s="5">
        <v>781</v>
      </c>
      <c r="J424" s="13">
        <v>381700</v>
      </c>
      <c r="K424" s="15">
        <f t="shared" si="6"/>
        <v>488.73239436619718</v>
      </c>
      <c r="L424" s="5" t="s">
        <v>16</v>
      </c>
      <c r="M424" s="5" t="s">
        <v>29</v>
      </c>
      <c r="N424" s="5" t="s">
        <v>41</v>
      </c>
      <c r="O424" s="5" t="s">
        <v>42</v>
      </c>
    </row>
    <row r="425" spans="1:15" s="4" customFormat="1">
      <c r="A425" s="4">
        <v>424</v>
      </c>
      <c r="B425" s="5" t="s">
        <v>365</v>
      </c>
      <c r="C425" s="3">
        <v>45728</v>
      </c>
      <c r="D425" s="5" t="s">
        <v>39</v>
      </c>
      <c r="E425" s="5" t="s">
        <v>51</v>
      </c>
      <c r="F425" s="5" t="s">
        <v>52</v>
      </c>
      <c r="G425" s="5">
        <v>1</v>
      </c>
      <c r="H425" s="5">
        <v>1</v>
      </c>
      <c r="I425" s="5">
        <v>775</v>
      </c>
      <c r="J425" s="13">
        <v>404300</v>
      </c>
      <c r="K425" s="15">
        <f t="shared" si="6"/>
        <v>521.67741935483866</v>
      </c>
      <c r="L425" s="5" t="s">
        <v>53</v>
      </c>
      <c r="M425" s="5" t="s">
        <v>29</v>
      </c>
      <c r="N425" s="5" t="s">
        <v>41</v>
      </c>
      <c r="O425" s="5" t="s">
        <v>35</v>
      </c>
    </row>
    <row r="426" spans="1:15" s="4" customFormat="1">
      <c r="A426" s="4">
        <v>425</v>
      </c>
      <c r="B426" s="5" t="s">
        <v>115</v>
      </c>
      <c r="C426" s="3">
        <v>45673</v>
      </c>
      <c r="D426" s="5" t="s">
        <v>39</v>
      </c>
      <c r="E426" s="5" t="s">
        <v>61</v>
      </c>
      <c r="F426" s="5" t="s">
        <v>15</v>
      </c>
      <c r="G426" s="5">
        <v>2</v>
      </c>
      <c r="H426" s="5">
        <v>2</v>
      </c>
      <c r="I426" s="5">
        <v>774</v>
      </c>
      <c r="J426" s="13">
        <v>425000</v>
      </c>
      <c r="K426" s="15">
        <f t="shared" si="6"/>
        <v>549.0956072351421</v>
      </c>
      <c r="L426" s="5" t="s">
        <v>16</v>
      </c>
      <c r="M426" s="5" t="s">
        <v>29</v>
      </c>
      <c r="N426" s="5" t="s">
        <v>18</v>
      </c>
      <c r="O426" s="5" t="s">
        <v>35</v>
      </c>
    </row>
    <row r="427" spans="1:15" s="4" customFormat="1">
      <c r="A427" s="4">
        <v>426</v>
      </c>
      <c r="B427" s="5" t="s">
        <v>296</v>
      </c>
      <c r="C427" s="3">
        <v>45710</v>
      </c>
      <c r="D427" s="5" t="s">
        <v>32</v>
      </c>
      <c r="E427" s="5" t="s">
        <v>33</v>
      </c>
      <c r="F427" s="5" t="s">
        <v>15</v>
      </c>
      <c r="G427" s="5">
        <v>1</v>
      </c>
      <c r="H427" s="5">
        <v>2</v>
      </c>
      <c r="I427" s="5">
        <v>768</v>
      </c>
      <c r="J427" s="13">
        <v>250100</v>
      </c>
      <c r="K427" s="15">
        <f t="shared" si="6"/>
        <v>325.65104166666669</v>
      </c>
      <c r="L427" s="5" t="s">
        <v>16</v>
      </c>
      <c r="M427" s="5" t="s">
        <v>29</v>
      </c>
      <c r="N427" s="5" t="s">
        <v>18</v>
      </c>
      <c r="O427" s="5" t="s">
        <v>25</v>
      </c>
    </row>
    <row r="428" spans="1:15" s="4" customFormat="1">
      <c r="A428" s="4">
        <v>427</v>
      </c>
      <c r="B428" s="5" t="s">
        <v>234</v>
      </c>
      <c r="C428" s="3">
        <v>45762</v>
      </c>
      <c r="D428" s="5" t="s">
        <v>39</v>
      </c>
      <c r="E428" s="5" t="s">
        <v>40</v>
      </c>
      <c r="F428" s="5" t="s">
        <v>52</v>
      </c>
      <c r="G428" s="5">
        <v>1</v>
      </c>
      <c r="H428" s="5">
        <v>1</v>
      </c>
      <c r="I428" s="5">
        <v>767</v>
      </c>
      <c r="J428" s="13">
        <v>423300</v>
      </c>
      <c r="K428" s="15">
        <f t="shared" si="6"/>
        <v>551.89048239895692</v>
      </c>
      <c r="L428" s="5" t="s">
        <v>53</v>
      </c>
      <c r="M428" s="5" t="s">
        <v>29</v>
      </c>
      <c r="N428" s="5" t="s">
        <v>30</v>
      </c>
      <c r="O428" s="5" t="s">
        <v>42</v>
      </c>
    </row>
    <row r="429" spans="1:15" s="4" customFormat="1">
      <c r="A429" s="4">
        <v>428</v>
      </c>
      <c r="B429" s="5" t="s">
        <v>331</v>
      </c>
      <c r="C429" s="3">
        <v>45842</v>
      </c>
      <c r="D429" s="5" t="s">
        <v>44</v>
      </c>
      <c r="E429" s="5" t="s">
        <v>45</v>
      </c>
      <c r="F429" s="5" t="s">
        <v>34</v>
      </c>
      <c r="G429" s="5">
        <v>2</v>
      </c>
      <c r="H429" s="5">
        <v>2</v>
      </c>
      <c r="I429" s="5">
        <v>764</v>
      </c>
      <c r="J429" s="13">
        <v>325300</v>
      </c>
      <c r="K429" s="15">
        <f t="shared" si="6"/>
        <v>425.78534031413614</v>
      </c>
      <c r="L429" s="5" t="s">
        <v>53</v>
      </c>
      <c r="M429" s="5" t="s">
        <v>29</v>
      </c>
      <c r="N429" s="5" t="s">
        <v>30</v>
      </c>
      <c r="O429" s="5" t="s">
        <v>42</v>
      </c>
    </row>
    <row r="430" spans="1:15" s="4" customFormat="1">
      <c r="A430" s="4">
        <v>429</v>
      </c>
      <c r="B430" s="5" t="s">
        <v>271</v>
      </c>
      <c r="C430" s="3">
        <v>45964</v>
      </c>
      <c r="D430" s="5" t="s">
        <v>44</v>
      </c>
      <c r="E430" s="5" t="s">
        <v>45</v>
      </c>
      <c r="F430" s="5" t="s">
        <v>15</v>
      </c>
      <c r="G430" s="5">
        <v>1</v>
      </c>
      <c r="H430" s="5">
        <v>1</v>
      </c>
      <c r="I430" s="5">
        <v>757</v>
      </c>
      <c r="J430" s="13">
        <v>282700</v>
      </c>
      <c r="K430" s="15">
        <f t="shared" si="6"/>
        <v>373.44782034346105</v>
      </c>
      <c r="L430" s="5" t="s">
        <v>24</v>
      </c>
      <c r="M430" s="5" t="s">
        <v>29</v>
      </c>
      <c r="N430" s="5" t="s">
        <v>18</v>
      </c>
      <c r="O430" s="5" t="s">
        <v>42</v>
      </c>
    </row>
    <row r="431" spans="1:15" s="4" customFormat="1">
      <c r="A431" s="4">
        <v>430</v>
      </c>
      <c r="B431" s="5" t="s">
        <v>186</v>
      </c>
      <c r="C431" s="3">
        <v>46000</v>
      </c>
      <c r="D431" s="5" t="s">
        <v>21</v>
      </c>
      <c r="E431" s="5" t="s">
        <v>109</v>
      </c>
      <c r="F431" s="5" t="s">
        <v>52</v>
      </c>
      <c r="G431" s="5">
        <v>2</v>
      </c>
      <c r="H431" s="5">
        <v>2</v>
      </c>
      <c r="I431" s="5">
        <v>755</v>
      </c>
      <c r="J431" s="13">
        <v>764500</v>
      </c>
      <c r="K431" s="15">
        <f t="shared" si="6"/>
        <v>1012.5827814569536</v>
      </c>
      <c r="L431" s="5" t="s">
        <v>53</v>
      </c>
      <c r="M431" s="5" t="s">
        <v>29</v>
      </c>
      <c r="N431" s="5" t="s">
        <v>30</v>
      </c>
      <c r="O431" s="5" t="s">
        <v>42</v>
      </c>
    </row>
    <row r="432" spans="1:15" s="4" customFormat="1">
      <c r="A432" s="4">
        <v>431</v>
      </c>
      <c r="B432" s="5" t="s">
        <v>505</v>
      </c>
      <c r="C432" s="3">
        <v>45819</v>
      </c>
      <c r="D432" s="5" t="s">
        <v>48</v>
      </c>
      <c r="E432" s="5" t="s">
        <v>92</v>
      </c>
      <c r="F432" s="5" t="s">
        <v>52</v>
      </c>
      <c r="G432" s="5">
        <v>3</v>
      </c>
      <c r="H432" s="5">
        <v>1</v>
      </c>
      <c r="I432" s="5">
        <v>753</v>
      </c>
      <c r="J432" s="13">
        <v>524200</v>
      </c>
      <c r="K432" s="15">
        <f t="shared" si="6"/>
        <v>696.14873837981406</v>
      </c>
      <c r="L432" s="5" t="s">
        <v>24</v>
      </c>
      <c r="M432" s="5" t="s">
        <v>29</v>
      </c>
      <c r="N432" s="5" t="s">
        <v>18</v>
      </c>
      <c r="O432" s="5" t="s">
        <v>42</v>
      </c>
    </row>
    <row r="433" spans="1:15" s="4" customFormat="1">
      <c r="A433" s="4">
        <v>432</v>
      </c>
      <c r="B433" s="5" t="s">
        <v>245</v>
      </c>
      <c r="C433" s="3">
        <v>45980</v>
      </c>
      <c r="D433" s="5" t="s">
        <v>32</v>
      </c>
      <c r="E433" s="5" t="s">
        <v>77</v>
      </c>
      <c r="F433" s="5" t="s">
        <v>15</v>
      </c>
      <c r="G433" s="5">
        <v>3</v>
      </c>
      <c r="H433" s="5">
        <v>3</v>
      </c>
      <c r="I433" s="5">
        <v>747</v>
      </c>
      <c r="J433" s="13">
        <v>207500</v>
      </c>
      <c r="K433" s="15">
        <f t="shared" si="6"/>
        <v>277.77777777777777</v>
      </c>
      <c r="L433" s="5" t="s">
        <v>24</v>
      </c>
      <c r="M433" s="5" t="s">
        <v>17</v>
      </c>
      <c r="N433" s="5" t="s">
        <v>18</v>
      </c>
      <c r="O433" s="5" t="s">
        <v>42</v>
      </c>
    </row>
    <row r="434" spans="1:15" s="4" customFormat="1">
      <c r="A434" s="4">
        <v>433</v>
      </c>
      <c r="B434" s="5" t="s">
        <v>322</v>
      </c>
      <c r="C434" s="3">
        <v>45674</v>
      </c>
      <c r="D434" s="5" t="s">
        <v>27</v>
      </c>
      <c r="E434" s="5" t="s">
        <v>79</v>
      </c>
      <c r="F434" s="5" t="s">
        <v>52</v>
      </c>
      <c r="G434" s="5">
        <v>3</v>
      </c>
      <c r="H434" s="5">
        <v>1</v>
      </c>
      <c r="I434" s="5">
        <v>744</v>
      </c>
      <c r="J434" s="13">
        <v>525200</v>
      </c>
      <c r="K434" s="15">
        <f t="shared" si="6"/>
        <v>705.91397849462362</v>
      </c>
      <c r="L434" s="5" t="s">
        <v>53</v>
      </c>
      <c r="M434" s="5" t="s">
        <v>17</v>
      </c>
      <c r="N434" s="5" t="s">
        <v>30</v>
      </c>
      <c r="O434" s="5" t="s">
        <v>19</v>
      </c>
    </row>
    <row r="435" spans="1:15" s="4" customFormat="1">
      <c r="A435" s="4">
        <v>434</v>
      </c>
      <c r="B435" s="5" t="s">
        <v>523</v>
      </c>
      <c r="C435" s="3">
        <v>45978</v>
      </c>
      <c r="D435" s="5" t="s">
        <v>14</v>
      </c>
      <c r="E435" s="5" t="s">
        <v>129</v>
      </c>
      <c r="F435" s="5" t="s">
        <v>52</v>
      </c>
      <c r="G435" s="5">
        <v>2</v>
      </c>
      <c r="H435" s="5">
        <v>2</v>
      </c>
      <c r="I435" s="5">
        <v>743</v>
      </c>
      <c r="J435" s="13">
        <v>386800</v>
      </c>
      <c r="K435" s="15">
        <f t="shared" si="6"/>
        <v>520.59219380888294</v>
      </c>
      <c r="L435" s="5" t="s">
        <v>16</v>
      </c>
      <c r="M435" s="5" t="s">
        <v>17</v>
      </c>
      <c r="N435" s="5" t="s">
        <v>30</v>
      </c>
      <c r="O435" s="5" t="s">
        <v>42</v>
      </c>
    </row>
    <row r="436" spans="1:15" s="4" customFormat="1">
      <c r="A436" s="4">
        <v>435</v>
      </c>
      <c r="B436" s="5" t="s">
        <v>308</v>
      </c>
      <c r="C436" s="3">
        <v>45952</v>
      </c>
      <c r="D436" s="5" t="s">
        <v>21</v>
      </c>
      <c r="E436" s="5" t="s">
        <v>84</v>
      </c>
      <c r="F436" s="5" t="s">
        <v>15</v>
      </c>
      <c r="G436" s="5">
        <v>2</v>
      </c>
      <c r="H436" s="5">
        <v>2</v>
      </c>
      <c r="I436" s="5">
        <v>743</v>
      </c>
      <c r="J436" s="13">
        <v>731800</v>
      </c>
      <c r="K436" s="15">
        <f t="shared" si="6"/>
        <v>984.9259757738896</v>
      </c>
      <c r="L436" s="5" t="s">
        <v>16</v>
      </c>
      <c r="M436" s="5" t="s">
        <v>17</v>
      </c>
      <c r="N436" s="5" t="s">
        <v>30</v>
      </c>
      <c r="O436" s="5" t="s">
        <v>25</v>
      </c>
    </row>
    <row r="437" spans="1:15" s="4" customFormat="1">
      <c r="A437" s="4">
        <v>436</v>
      </c>
      <c r="B437" s="5" t="s">
        <v>525</v>
      </c>
      <c r="C437" s="3">
        <v>45931</v>
      </c>
      <c r="D437" s="5" t="s">
        <v>39</v>
      </c>
      <c r="E437" s="5" t="s">
        <v>72</v>
      </c>
      <c r="F437" s="5" t="s">
        <v>34</v>
      </c>
      <c r="G437" s="5">
        <v>1</v>
      </c>
      <c r="H437" s="5">
        <v>1</v>
      </c>
      <c r="I437" s="5">
        <v>738</v>
      </c>
      <c r="J437" s="13">
        <v>384000</v>
      </c>
      <c r="K437" s="15">
        <f t="shared" si="6"/>
        <v>520.32520325203257</v>
      </c>
      <c r="L437" s="5" t="s">
        <v>16</v>
      </c>
      <c r="M437" s="5" t="s">
        <v>29</v>
      </c>
      <c r="N437" s="5" t="s">
        <v>18</v>
      </c>
      <c r="O437" s="5" t="s">
        <v>37</v>
      </c>
    </row>
    <row r="438" spans="1:15" s="4" customFormat="1">
      <c r="A438" s="4">
        <v>437</v>
      </c>
      <c r="B438" s="5" t="s">
        <v>62</v>
      </c>
      <c r="C438" s="3">
        <v>45968</v>
      </c>
      <c r="D438" s="5" t="s">
        <v>39</v>
      </c>
      <c r="E438" s="5" t="s">
        <v>61</v>
      </c>
      <c r="F438" s="5" t="s">
        <v>23</v>
      </c>
      <c r="G438" s="5">
        <v>2</v>
      </c>
      <c r="H438" s="5">
        <v>1</v>
      </c>
      <c r="I438" s="5">
        <v>736</v>
      </c>
      <c r="J438" s="13">
        <v>393300</v>
      </c>
      <c r="K438" s="15">
        <f t="shared" si="6"/>
        <v>534.375</v>
      </c>
      <c r="L438" s="5" t="s">
        <v>53</v>
      </c>
      <c r="M438" s="5" t="s">
        <v>29</v>
      </c>
      <c r="N438" s="5" t="s">
        <v>41</v>
      </c>
      <c r="O438" s="5" t="s">
        <v>42</v>
      </c>
    </row>
    <row r="439" spans="1:15" s="4" customFormat="1">
      <c r="A439" s="4">
        <v>438</v>
      </c>
      <c r="B439" s="5" t="s">
        <v>394</v>
      </c>
      <c r="C439" s="3">
        <v>45766</v>
      </c>
      <c r="D439" s="5" t="s">
        <v>14</v>
      </c>
      <c r="E439" s="5" t="s">
        <v>58</v>
      </c>
      <c r="F439" s="5" t="s">
        <v>34</v>
      </c>
      <c r="G439" s="5">
        <v>2</v>
      </c>
      <c r="H439" s="5">
        <v>1</v>
      </c>
      <c r="I439" s="5">
        <v>736</v>
      </c>
      <c r="J439" s="13">
        <v>422000</v>
      </c>
      <c r="K439" s="15">
        <f t="shared" si="6"/>
        <v>573.36956521739125</v>
      </c>
      <c r="L439" s="5" t="s">
        <v>53</v>
      </c>
      <c r="M439" s="5" t="s">
        <v>17</v>
      </c>
      <c r="N439" s="5" t="s">
        <v>41</v>
      </c>
      <c r="O439" s="5" t="s">
        <v>37</v>
      </c>
    </row>
    <row r="440" spans="1:15" s="4" customFormat="1">
      <c r="A440" s="4">
        <v>439</v>
      </c>
      <c r="B440" s="5" t="s">
        <v>561</v>
      </c>
      <c r="C440" s="3">
        <v>46014</v>
      </c>
      <c r="D440" s="5" t="s">
        <v>14</v>
      </c>
      <c r="E440" s="5" t="s">
        <v>567</v>
      </c>
      <c r="F440" s="5" t="s">
        <v>34</v>
      </c>
      <c r="G440" s="5">
        <v>3</v>
      </c>
      <c r="H440" s="5">
        <v>2</v>
      </c>
      <c r="I440" s="5">
        <v>734</v>
      </c>
      <c r="J440" s="13">
        <v>432600</v>
      </c>
      <c r="K440" s="15">
        <f t="shared" si="6"/>
        <v>589.37329700272483</v>
      </c>
      <c r="L440" s="5" t="s">
        <v>24</v>
      </c>
      <c r="M440" s="5" t="s">
        <v>17</v>
      </c>
      <c r="N440" s="5" t="s">
        <v>18</v>
      </c>
      <c r="O440" s="5" t="s">
        <v>25</v>
      </c>
    </row>
    <row r="441" spans="1:15" s="4" customFormat="1">
      <c r="A441" s="4">
        <v>440</v>
      </c>
      <c r="B441" s="5" t="s">
        <v>279</v>
      </c>
      <c r="C441" s="3">
        <v>45762</v>
      </c>
      <c r="D441" s="5" t="s">
        <v>14</v>
      </c>
      <c r="E441" s="5" t="s">
        <v>567</v>
      </c>
      <c r="F441" s="5" t="s">
        <v>52</v>
      </c>
      <c r="G441" s="5">
        <v>2</v>
      </c>
      <c r="H441" s="5">
        <v>1</v>
      </c>
      <c r="I441" s="5">
        <v>734</v>
      </c>
      <c r="J441" s="13">
        <v>442200</v>
      </c>
      <c r="K441" s="15">
        <f t="shared" si="6"/>
        <v>602.45231607629432</v>
      </c>
      <c r="L441" s="5" t="s">
        <v>53</v>
      </c>
      <c r="M441" s="5" t="s">
        <v>29</v>
      </c>
      <c r="N441" s="5" t="s">
        <v>41</v>
      </c>
      <c r="O441" s="5" t="s">
        <v>37</v>
      </c>
    </row>
    <row r="442" spans="1:15" s="4" customFormat="1">
      <c r="A442" s="4">
        <v>441</v>
      </c>
      <c r="B442" s="5" t="s">
        <v>395</v>
      </c>
      <c r="C442" s="3">
        <v>45864</v>
      </c>
      <c r="D442" s="5" t="s">
        <v>48</v>
      </c>
      <c r="E442" s="5" t="s">
        <v>49</v>
      </c>
      <c r="F442" s="5" t="s">
        <v>23</v>
      </c>
      <c r="G442" s="5">
        <v>1</v>
      </c>
      <c r="H442" s="5">
        <v>1</v>
      </c>
      <c r="I442" s="5">
        <v>734</v>
      </c>
      <c r="J442" s="13">
        <v>552200</v>
      </c>
      <c r="K442" s="15">
        <f t="shared" si="6"/>
        <v>752.31607629427788</v>
      </c>
      <c r="L442" s="5" t="s">
        <v>16</v>
      </c>
      <c r="M442" s="5" t="s">
        <v>29</v>
      </c>
      <c r="N442" s="5" t="s">
        <v>18</v>
      </c>
      <c r="O442" s="5" t="s">
        <v>46</v>
      </c>
    </row>
    <row r="443" spans="1:15" s="4" customFormat="1">
      <c r="A443" s="4">
        <v>442</v>
      </c>
      <c r="B443" s="5" t="s">
        <v>299</v>
      </c>
      <c r="C443" s="3">
        <v>45690</v>
      </c>
      <c r="D443" s="5" t="s">
        <v>44</v>
      </c>
      <c r="E443" s="5" t="s">
        <v>45</v>
      </c>
      <c r="F443" s="5" t="s">
        <v>34</v>
      </c>
      <c r="G443" s="5">
        <v>2</v>
      </c>
      <c r="H443" s="5">
        <v>2</v>
      </c>
      <c r="I443" s="5">
        <v>733</v>
      </c>
      <c r="J443" s="13">
        <v>349300</v>
      </c>
      <c r="K443" s="15">
        <f t="shared" si="6"/>
        <v>476.53478854024559</v>
      </c>
      <c r="L443" s="5" t="s">
        <v>16</v>
      </c>
      <c r="M443" s="5" t="s">
        <v>17</v>
      </c>
      <c r="N443" s="5" t="s">
        <v>30</v>
      </c>
      <c r="O443" s="5" t="s">
        <v>25</v>
      </c>
    </row>
    <row r="444" spans="1:15" s="4" customFormat="1">
      <c r="A444" s="4">
        <v>443</v>
      </c>
      <c r="B444" s="5" t="s">
        <v>392</v>
      </c>
      <c r="C444" s="3">
        <v>45901</v>
      </c>
      <c r="D444" s="5" t="s">
        <v>39</v>
      </c>
      <c r="E444" s="5" t="s">
        <v>72</v>
      </c>
      <c r="F444" s="5" t="s">
        <v>52</v>
      </c>
      <c r="G444" s="5">
        <v>1</v>
      </c>
      <c r="H444" s="5">
        <v>1</v>
      </c>
      <c r="I444" s="5">
        <v>730</v>
      </c>
      <c r="J444" s="13">
        <v>376300</v>
      </c>
      <c r="K444" s="15">
        <f t="shared" si="6"/>
        <v>515.47945205479448</v>
      </c>
      <c r="L444" s="5" t="s">
        <v>53</v>
      </c>
      <c r="M444" s="5" t="s">
        <v>17</v>
      </c>
      <c r="N444" s="5" t="s">
        <v>18</v>
      </c>
      <c r="O444" s="5" t="s">
        <v>37</v>
      </c>
    </row>
    <row r="445" spans="1:15" s="4" customFormat="1">
      <c r="A445" s="4">
        <v>444</v>
      </c>
      <c r="B445" s="5" t="s">
        <v>244</v>
      </c>
      <c r="C445" s="3">
        <v>46010</v>
      </c>
      <c r="D445" s="5" t="s">
        <v>32</v>
      </c>
      <c r="E445" s="5" t="s">
        <v>112</v>
      </c>
      <c r="F445" s="5" t="s">
        <v>15</v>
      </c>
      <c r="G445" s="5">
        <v>2</v>
      </c>
      <c r="H445" s="5">
        <v>2</v>
      </c>
      <c r="I445" s="5">
        <v>729</v>
      </c>
      <c r="J445" s="13">
        <v>226900</v>
      </c>
      <c r="K445" s="15">
        <f t="shared" si="6"/>
        <v>311.24828532235938</v>
      </c>
      <c r="L445" s="5" t="s">
        <v>24</v>
      </c>
      <c r="M445" s="5" t="s">
        <v>29</v>
      </c>
      <c r="N445" s="5" t="s">
        <v>41</v>
      </c>
      <c r="O445" s="5" t="s">
        <v>25</v>
      </c>
    </row>
    <row r="446" spans="1:15" s="4" customFormat="1">
      <c r="A446" s="4">
        <v>445</v>
      </c>
      <c r="B446" s="5" t="s">
        <v>515</v>
      </c>
      <c r="C446" s="3">
        <v>45722</v>
      </c>
      <c r="D446" s="5" t="s">
        <v>27</v>
      </c>
      <c r="E446" s="5" t="s">
        <v>69</v>
      </c>
      <c r="F446" s="5" t="s">
        <v>52</v>
      </c>
      <c r="G446" s="5">
        <v>2</v>
      </c>
      <c r="H446" s="5">
        <v>2</v>
      </c>
      <c r="I446" s="5">
        <v>729</v>
      </c>
      <c r="J446" s="13">
        <v>595100</v>
      </c>
      <c r="K446" s="15">
        <f t="shared" si="6"/>
        <v>816.32373113854601</v>
      </c>
      <c r="L446" s="5" t="s">
        <v>24</v>
      </c>
      <c r="M446" s="5" t="s">
        <v>29</v>
      </c>
      <c r="N446" s="5" t="s">
        <v>41</v>
      </c>
      <c r="O446" s="5" t="s">
        <v>37</v>
      </c>
    </row>
    <row r="447" spans="1:15" s="4" customFormat="1">
      <c r="A447" s="4">
        <v>446</v>
      </c>
      <c r="B447" s="5" t="s">
        <v>169</v>
      </c>
      <c r="C447" s="3">
        <v>45725</v>
      </c>
      <c r="D447" s="5" t="s">
        <v>44</v>
      </c>
      <c r="E447" s="5" t="s">
        <v>100</v>
      </c>
      <c r="F447" s="5" t="s">
        <v>23</v>
      </c>
      <c r="G447" s="5">
        <v>1</v>
      </c>
      <c r="H447" s="5">
        <v>1</v>
      </c>
      <c r="I447" s="5">
        <v>728</v>
      </c>
      <c r="J447" s="13">
        <v>367800</v>
      </c>
      <c r="K447" s="15">
        <f t="shared" si="6"/>
        <v>505.2197802197802</v>
      </c>
      <c r="L447" s="5" t="s">
        <v>16</v>
      </c>
      <c r="M447" s="5" t="s">
        <v>17</v>
      </c>
      <c r="N447" s="5" t="s">
        <v>18</v>
      </c>
      <c r="O447" s="5" t="s">
        <v>35</v>
      </c>
    </row>
    <row r="448" spans="1:15" s="4" customFormat="1">
      <c r="A448" s="4">
        <v>447</v>
      </c>
      <c r="B448" s="5" t="s">
        <v>341</v>
      </c>
      <c r="C448" s="3">
        <v>45861</v>
      </c>
      <c r="D448" s="5" t="s">
        <v>21</v>
      </c>
      <c r="E448" s="5" t="s">
        <v>67</v>
      </c>
      <c r="F448" s="5" t="s">
        <v>23</v>
      </c>
      <c r="G448" s="5">
        <v>1</v>
      </c>
      <c r="H448" s="5">
        <v>1</v>
      </c>
      <c r="I448" s="5">
        <v>720</v>
      </c>
      <c r="J448" s="13">
        <v>839300</v>
      </c>
      <c r="K448" s="15">
        <f t="shared" si="6"/>
        <v>1165.6944444444443</v>
      </c>
      <c r="L448" s="5" t="s">
        <v>24</v>
      </c>
      <c r="M448" s="5" t="s">
        <v>17</v>
      </c>
      <c r="N448" s="5" t="s">
        <v>41</v>
      </c>
      <c r="O448" s="5" t="s">
        <v>42</v>
      </c>
    </row>
    <row r="449" spans="1:15" s="4" customFormat="1">
      <c r="A449" s="4">
        <v>448</v>
      </c>
      <c r="B449" s="5" t="s">
        <v>242</v>
      </c>
      <c r="C449" s="3">
        <v>45891</v>
      </c>
      <c r="D449" s="5" t="s">
        <v>27</v>
      </c>
      <c r="E449" s="5" t="s">
        <v>69</v>
      </c>
      <c r="F449" s="5" t="s">
        <v>15</v>
      </c>
      <c r="G449" s="5">
        <v>1</v>
      </c>
      <c r="H449" s="5">
        <v>1</v>
      </c>
      <c r="I449" s="5">
        <v>718</v>
      </c>
      <c r="J449" s="13">
        <v>506600</v>
      </c>
      <c r="K449" s="15">
        <f t="shared" si="6"/>
        <v>705.57103064066848</v>
      </c>
      <c r="L449" s="5" t="s">
        <v>24</v>
      </c>
      <c r="M449" s="5" t="s">
        <v>29</v>
      </c>
      <c r="N449" s="5" t="s">
        <v>30</v>
      </c>
      <c r="O449" s="5" t="s">
        <v>35</v>
      </c>
    </row>
    <row r="450" spans="1:15" s="4" customFormat="1">
      <c r="A450" s="4">
        <v>449</v>
      </c>
      <c r="B450" s="5" t="s">
        <v>553</v>
      </c>
      <c r="C450" s="3">
        <v>45859</v>
      </c>
      <c r="D450" s="5" t="s">
        <v>14</v>
      </c>
      <c r="E450" s="5" t="s">
        <v>56</v>
      </c>
      <c r="F450" s="5" t="s">
        <v>23</v>
      </c>
      <c r="G450" s="5">
        <v>1</v>
      </c>
      <c r="H450" s="5">
        <v>1</v>
      </c>
      <c r="I450" s="5">
        <v>717</v>
      </c>
      <c r="J450" s="13">
        <v>458900</v>
      </c>
      <c r="K450" s="15">
        <f t="shared" ref="K450:K511" si="7">J450/I450</f>
        <v>640.02789400278937</v>
      </c>
      <c r="L450" s="5" t="s">
        <v>53</v>
      </c>
      <c r="M450" s="5" t="s">
        <v>29</v>
      </c>
      <c r="N450" s="5" t="s">
        <v>18</v>
      </c>
      <c r="O450" s="5" t="s">
        <v>25</v>
      </c>
    </row>
    <row r="451" spans="1:15" s="4" customFormat="1">
      <c r="A451" s="4">
        <v>450</v>
      </c>
      <c r="B451" s="5" t="s">
        <v>264</v>
      </c>
      <c r="C451" s="3">
        <v>45742</v>
      </c>
      <c r="D451" s="5" t="s">
        <v>32</v>
      </c>
      <c r="E451" s="5" t="s">
        <v>61</v>
      </c>
      <c r="F451" s="5" t="s">
        <v>15</v>
      </c>
      <c r="G451" s="5">
        <v>1</v>
      </c>
      <c r="H451" s="5">
        <v>1</v>
      </c>
      <c r="I451" s="5">
        <v>714</v>
      </c>
      <c r="J451" s="13">
        <v>219500</v>
      </c>
      <c r="K451" s="15">
        <f t="shared" si="7"/>
        <v>307.42296918767505</v>
      </c>
      <c r="L451" s="5" t="s">
        <v>53</v>
      </c>
      <c r="M451" s="5" t="s">
        <v>17</v>
      </c>
      <c r="N451" s="5" t="s">
        <v>18</v>
      </c>
      <c r="O451" s="5" t="s">
        <v>42</v>
      </c>
    </row>
    <row r="452" spans="1:15" s="4" customFormat="1">
      <c r="A452" s="4">
        <v>451</v>
      </c>
      <c r="B452" s="5" t="s">
        <v>201</v>
      </c>
      <c r="C452" s="3">
        <v>45709</v>
      </c>
      <c r="D452" s="5" t="s">
        <v>44</v>
      </c>
      <c r="E452" s="5" t="s">
        <v>45</v>
      </c>
      <c r="F452" s="5" t="s">
        <v>23</v>
      </c>
      <c r="G452" s="5">
        <v>1</v>
      </c>
      <c r="H452" s="5">
        <v>1</v>
      </c>
      <c r="I452" s="5">
        <v>701</v>
      </c>
      <c r="J452" s="13">
        <v>352300</v>
      </c>
      <c r="K452" s="15">
        <f t="shared" si="7"/>
        <v>502.56776034236805</v>
      </c>
      <c r="L452" s="5" t="s">
        <v>24</v>
      </c>
      <c r="M452" s="5" t="s">
        <v>29</v>
      </c>
      <c r="N452" s="5" t="s">
        <v>41</v>
      </c>
      <c r="O452" s="5" t="s">
        <v>37</v>
      </c>
    </row>
    <row r="453" spans="1:15" s="4" customFormat="1">
      <c r="A453" s="4">
        <v>452</v>
      </c>
      <c r="B453" s="5" t="s">
        <v>323</v>
      </c>
      <c r="C453" s="3">
        <v>45837</v>
      </c>
      <c r="D453" s="5" t="s">
        <v>39</v>
      </c>
      <c r="E453" s="5" t="s">
        <v>61</v>
      </c>
      <c r="F453" s="5" t="s">
        <v>23</v>
      </c>
      <c r="G453" s="5">
        <v>2</v>
      </c>
      <c r="H453" s="5">
        <v>1</v>
      </c>
      <c r="I453" s="5">
        <v>700</v>
      </c>
      <c r="J453" s="13">
        <v>408300</v>
      </c>
      <c r="K453" s="15">
        <f t="shared" si="7"/>
        <v>583.28571428571433</v>
      </c>
      <c r="L453" s="5" t="s">
        <v>24</v>
      </c>
      <c r="M453" s="5" t="s">
        <v>17</v>
      </c>
      <c r="N453" s="5" t="s">
        <v>18</v>
      </c>
      <c r="O453" s="5" t="s">
        <v>35</v>
      </c>
    </row>
    <row r="454" spans="1:15" s="4" customFormat="1">
      <c r="A454" s="4">
        <v>453</v>
      </c>
      <c r="B454" s="5" t="s">
        <v>510</v>
      </c>
      <c r="C454" s="3">
        <v>45980</v>
      </c>
      <c r="D454" s="5" t="s">
        <v>32</v>
      </c>
      <c r="E454" s="5" t="s">
        <v>61</v>
      </c>
      <c r="F454" s="5" t="s">
        <v>52</v>
      </c>
      <c r="G454" s="5">
        <v>1</v>
      </c>
      <c r="H454" s="5">
        <v>1</v>
      </c>
      <c r="I454" s="5">
        <v>692</v>
      </c>
      <c r="J454" s="13">
        <v>206800</v>
      </c>
      <c r="K454" s="15">
        <f t="shared" si="7"/>
        <v>298.84393063583815</v>
      </c>
      <c r="L454" s="5" t="s">
        <v>16</v>
      </c>
      <c r="M454" s="5" t="s">
        <v>17</v>
      </c>
      <c r="N454" s="5" t="s">
        <v>41</v>
      </c>
      <c r="O454" s="5" t="s">
        <v>37</v>
      </c>
    </row>
    <row r="455" spans="1:15" s="4" customFormat="1">
      <c r="A455" s="4">
        <v>454</v>
      </c>
      <c r="B455" s="5" t="s">
        <v>94</v>
      </c>
      <c r="C455" s="3">
        <v>45800</v>
      </c>
      <c r="D455" s="5" t="s">
        <v>48</v>
      </c>
      <c r="E455" s="5" t="s">
        <v>92</v>
      </c>
      <c r="F455" s="5" t="s">
        <v>23</v>
      </c>
      <c r="G455" s="5">
        <v>1</v>
      </c>
      <c r="H455" s="5">
        <v>1</v>
      </c>
      <c r="I455" s="5">
        <v>686</v>
      </c>
      <c r="J455" s="13">
        <v>536200</v>
      </c>
      <c r="K455" s="15">
        <f t="shared" si="7"/>
        <v>781.63265306122446</v>
      </c>
      <c r="L455" s="5" t="s">
        <v>53</v>
      </c>
      <c r="M455" s="5" t="s">
        <v>17</v>
      </c>
      <c r="N455" s="5" t="s">
        <v>41</v>
      </c>
      <c r="O455" s="5" t="s">
        <v>35</v>
      </c>
    </row>
    <row r="456" spans="1:15" s="4" customFormat="1">
      <c r="A456" s="4">
        <v>455</v>
      </c>
      <c r="B456" s="5" t="s">
        <v>558</v>
      </c>
      <c r="C456" s="3">
        <v>45701</v>
      </c>
      <c r="D456" s="5" t="s">
        <v>27</v>
      </c>
      <c r="E456" s="5" t="s">
        <v>79</v>
      </c>
      <c r="F456" s="5" t="s">
        <v>52</v>
      </c>
      <c r="G456" s="5">
        <v>1</v>
      </c>
      <c r="H456" s="5">
        <v>1</v>
      </c>
      <c r="I456" s="5">
        <v>685</v>
      </c>
      <c r="J456" s="13">
        <v>546100</v>
      </c>
      <c r="K456" s="15">
        <f t="shared" si="7"/>
        <v>797.22627737226276</v>
      </c>
      <c r="L456" s="5" t="s">
        <v>16</v>
      </c>
      <c r="M456" s="5" t="s">
        <v>29</v>
      </c>
      <c r="N456" s="5" t="s">
        <v>18</v>
      </c>
      <c r="O456" s="5" t="s">
        <v>35</v>
      </c>
    </row>
    <row r="457" spans="1:15" s="4" customFormat="1">
      <c r="A457" s="4">
        <v>456</v>
      </c>
      <c r="B457" s="5" t="s">
        <v>152</v>
      </c>
      <c r="C457" s="3">
        <v>45732</v>
      </c>
      <c r="D457" s="5" t="s">
        <v>14</v>
      </c>
      <c r="E457" s="5" t="s">
        <v>82</v>
      </c>
      <c r="F457" s="5" t="s">
        <v>15</v>
      </c>
      <c r="G457" s="5">
        <v>1</v>
      </c>
      <c r="H457" s="5">
        <v>1</v>
      </c>
      <c r="I457" s="5">
        <v>677</v>
      </c>
      <c r="J457" s="13">
        <v>365400</v>
      </c>
      <c r="K457" s="15">
        <f t="shared" si="7"/>
        <v>539.73412112259973</v>
      </c>
      <c r="L457" s="5" t="s">
        <v>16</v>
      </c>
      <c r="M457" s="5" t="s">
        <v>17</v>
      </c>
      <c r="N457" s="5" t="s">
        <v>41</v>
      </c>
      <c r="O457" s="5" t="s">
        <v>42</v>
      </c>
    </row>
    <row r="458" spans="1:15" s="4" customFormat="1">
      <c r="A458" s="4">
        <v>457</v>
      </c>
      <c r="B458" s="5" t="s">
        <v>361</v>
      </c>
      <c r="C458" s="3">
        <v>45771</v>
      </c>
      <c r="D458" s="5" t="s">
        <v>48</v>
      </c>
      <c r="E458" s="5" t="s">
        <v>92</v>
      </c>
      <c r="F458" s="5" t="s">
        <v>15</v>
      </c>
      <c r="G458" s="5">
        <v>1</v>
      </c>
      <c r="H458" s="5">
        <v>1</v>
      </c>
      <c r="I458" s="5">
        <v>673</v>
      </c>
      <c r="J458" s="13">
        <v>483000</v>
      </c>
      <c r="K458" s="15">
        <f t="shared" si="7"/>
        <v>717.68202080237745</v>
      </c>
      <c r="L458" s="5" t="s">
        <v>16</v>
      </c>
      <c r="M458" s="5" t="s">
        <v>29</v>
      </c>
      <c r="N458" s="5" t="s">
        <v>30</v>
      </c>
      <c r="O458" s="5" t="s">
        <v>37</v>
      </c>
    </row>
    <row r="459" spans="1:15" s="4" customFormat="1">
      <c r="A459" s="4">
        <v>458</v>
      </c>
      <c r="B459" s="5" t="s">
        <v>168</v>
      </c>
      <c r="C459" s="3">
        <v>45826</v>
      </c>
      <c r="D459" s="5" t="s">
        <v>44</v>
      </c>
      <c r="E459" s="5" t="s">
        <v>45</v>
      </c>
      <c r="F459" s="5" t="s">
        <v>23</v>
      </c>
      <c r="G459" s="5">
        <v>1</v>
      </c>
      <c r="H459" s="5">
        <v>1</v>
      </c>
      <c r="I459" s="5">
        <v>671</v>
      </c>
      <c r="J459" s="13">
        <v>339300</v>
      </c>
      <c r="K459" s="15">
        <f t="shared" si="7"/>
        <v>505.66318926974662</v>
      </c>
      <c r="L459" s="5" t="s">
        <v>16</v>
      </c>
      <c r="M459" s="5" t="s">
        <v>29</v>
      </c>
      <c r="N459" s="5" t="s">
        <v>30</v>
      </c>
      <c r="O459" s="5" t="s">
        <v>46</v>
      </c>
    </row>
    <row r="460" spans="1:15" s="4" customFormat="1">
      <c r="A460" s="4">
        <v>459</v>
      </c>
      <c r="B460" s="5" t="s">
        <v>556</v>
      </c>
      <c r="C460" s="3">
        <v>45703</v>
      </c>
      <c r="D460" s="5" t="s">
        <v>14</v>
      </c>
      <c r="E460" s="5" t="s">
        <v>56</v>
      </c>
      <c r="F460" s="5" t="s">
        <v>23</v>
      </c>
      <c r="G460" s="5">
        <v>1</v>
      </c>
      <c r="H460" s="5">
        <v>2</v>
      </c>
      <c r="I460" s="5">
        <v>667</v>
      </c>
      <c r="J460" s="13">
        <v>447500</v>
      </c>
      <c r="K460" s="15">
        <f t="shared" si="7"/>
        <v>670.91454272863564</v>
      </c>
      <c r="L460" s="5" t="s">
        <v>16</v>
      </c>
      <c r="M460" s="5" t="s">
        <v>17</v>
      </c>
      <c r="N460" s="5" t="s">
        <v>30</v>
      </c>
      <c r="O460" s="5" t="s">
        <v>37</v>
      </c>
    </row>
    <row r="461" spans="1:15" s="4" customFormat="1">
      <c r="A461" s="4">
        <v>460</v>
      </c>
      <c r="B461" s="5" t="s">
        <v>320</v>
      </c>
      <c r="C461" s="3">
        <v>45947</v>
      </c>
      <c r="D461" s="5" t="s">
        <v>21</v>
      </c>
      <c r="E461" s="5" t="s">
        <v>22</v>
      </c>
      <c r="F461" s="5" t="s">
        <v>34</v>
      </c>
      <c r="G461" s="5">
        <v>1</v>
      </c>
      <c r="H461" s="5">
        <v>1</v>
      </c>
      <c r="I461" s="5">
        <v>665</v>
      </c>
      <c r="J461" s="13">
        <v>771800</v>
      </c>
      <c r="K461" s="15">
        <f t="shared" si="7"/>
        <v>1160.6015037593984</v>
      </c>
      <c r="L461" s="5" t="s">
        <v>24</v>
      </c>
      <c r="M461" s="5" t="s">
        <v>17</v>
      </c>
      <c r="N461" s="5" t="s">
        <v>41</v>
      </c>
      <c r="O461" s="5" t="s">
        <v>35</v>
      </c>
    </row>
    <row r="462" spans="1:15" s="4" customFormat="1">
      <c r="A462" s="4">
        <v>461</v>
      </c>
      <c r="B462" s="5" t="s">
        <v>520</v>
      </c>
      <c r="C462" s="3">
        <v>45845</v>
      </c>
      <c r="D462" s="5" t="s">
        <v>14</v>
      </c>
      <c r="E462" s="5" t="s">
        <v>129</v>
      </c>
      <c r="F462" s="5" t="s">
        <v>34</v>
      </c>
      <c r="G462" s="5">
        <v>2</v>
      </c>
      <c r="H462" s="5">
        <v>2</v>
      </c>
      <c r="I462" s="5">
        <v>650</v>
      </c>
      <c r="J462" s="13">
        <v>400100</v>
      </c>
      <c r="K462" s="15">
        <f t="shared" si="7"/>
        <v>615.53846153846155</v>
      </c>
      <c r="L462" s="5" t="s">
        <v>53</v>
      </c>
      <c r="M462" s="5" t="s">
        <v>17</v>
      </c>
      <c r="N462" s="5" t="s">
        <v>18</v>
      </c>
      <c r="O462" s="5" t="s">
        <v>37</v>
      </c>
    </row>
    <row r="463" spans="1:15" s="4" customFormat="1">
      <c r="A463" s="4">
        <v>462</v>
      </c>
      <c r="B463" s="5" t="s">
        <v>149</v>
      </c>
      <c r="C463" s="3">
        <v>45793</v>
      </c>
      <c r="D463" s="5" t="s">
        <v>44</v>
      </c>
      <c r="E463" s="5" t="s">
        <v>75</v>
      </c>
      <c r="F463" s="5" t="s">
        <v>23</v>
      </c>
      <c r="G463" s="5">
        <v>1</v>
      </c>
      <c r="H463" s="5">
        <v>1</v>
      </c>
      <c r="I463" s="5">
        <v>647</v>
      </c>
      <c r="J463" s="13">
        <v>320200</v>
      </c>
      <c r="K463" s="15">
        <f t="shared" si="7"/>
        <v>494.89953632148377</v>
      </c>
      <c r="L463" s="5" t="s">
        <v>53</v>
      </c>
      <c r="M463" s="5" t="s">
        <v>17</v>
      </c>
      <c r="N463" s="5" t="s">
        <v>41</v>
      </c>
      <c r="O463" s="5" t="s">
        <v>19</v>
      </c>
    </row>
    <row r="464" spans="1:15" s="4" customFormat="1">
      <c r="A464" s="4">
        <v>463</v>
      </c>
      <c r="B464" s="5" t="s">
        <v>252</v>
      </c>
      <c r="C464" s="3">
        <v>45929</v>
      </c>
      <c r="D464" s="5" t="s">
        <v>27</v>
      </c>
      <c r="E464" s="5" t="s">
        <v>28</v>
      </c>
      <c r="F464" s="5" t="s">
        <v>23</v>
      </c>
      <c r="G464" s="5">
        <v>1</v>
      </c>
      <c r="H464" s="5">
        <v>1</v>
      </c>
      <c r="I464" s="5">
        <v>645</v>
      </c>
      <c r="J464" s="13">
        <v>435800</v>
      </c>
      <c r="K464" s="15">
        <f t="shared" si="7"/>
        <v>675.65891472868213</v>
      </c>
      <c r="L464" s="5" t="s">
        <v>16</v>
      </c>
      <c r="M464" s="5" t="s">
        <v>29</v>
      </c>
      <c r="N464" s="5" t="s">
        <v>18</v>
      </c>
      <c r="O464" s="5" t="s">
        <v>19</v>
      </c>
    </row>
    <row r="465" spans="1:15" s="4" customFormat="1">
      <c r="A465" s="4">
        <v>464</v>
      </c>
      <c r="B465" s="5" t="s">
        <v>428</v>
      </c>
      <c r="C465" s="3">
        <v>46005</v>
      </c>
      <c r="D465" s="5" t="s">
        <v>21</v>
      </c>
      <c r="E465" s="5" t="s">
        <v>109</v>
      </c>
      <c r="F465" s="5" t="s">
        <v>52</v>
      </c>
      <c r="G465" s="5">
        <v>1</v>
      </c>
      <c r="H465" s="5">
        <v>1</v>
      </c>
      <c r="I465" s="5">
        <v>642</v>
      </c>
      <c r="J465" s="13">
        <v>685400</v>
      </c>
      <c r="K465" s="15">
        <f t="shared" si="7"/>
        <v>1067.601246105919</v>
      </c>
      <c r="L465" s="5" t="s">
        <v>24</v>
      </c>
      <c r="M465" s="5" t="s">
        <v>29</v>
      </c>
      <c r="N465" s="5" t="s">
        <v>41</v>
      </c>
      <c r="O465" s="5" t="s">
        <v>37</v>
      </c>
    </row>
    <row r="466" spans="1:15" s="4" customFormat="1">
      <c r="A466" s="4">
        <v>465</v>
      </c>
      <c r="B466" s="5" t="s">
        <v>91</v>
      </c>
      <c r="C466" s="3">
        <v>46000</v>
      </c>
      <c r="D466" s="5" t="s">
        <v>14</v>
      </c>
      <c r="E466" s="5" t="s">
        <v>92</v>
      </c>
      <c r="F466" s="5" t="s">
        <v>52</v>
      </c>
      <c r="G466" s="5">
        <v>1</v>
      </c>
      <c r="H466" s="5">
        <v>1</v>
      </c>
      <c r="I466" s="5">
        <v>641</v>
      </c>
      <c r="J466" s="13">
        <v>494900</v>
      </c>
      <c r="K466" s="15">
        <f t="shared" si="7"/>
        <v>772.07488299531985</v>
      </c>
      <c r="L466" s="5" t="s">
        <v>24</v>
      </c>
      <c r="M466" s="5" t="s">
        <v>29</v>
      </c>
      <c r="N466" s="5" t="s">
        <v>30</v>
      </c>
      <c r="O466" s="5" t="s">
        <v>46</v>
      </c>
    </row>
    <row r="467" spans="1:15" s="4" customFormat="1">
      <c r="A467" s="4">
        <v>466</v>
      </c>
      <c r="B467" s="5" t="s">
        <v>91</v>
      </c>
      <c r="C467" s="3">
        <v>46000</v>
      </c>
      <c r="D467" s="5" t="s">
        <v>39</v>
      </c>
      <c r="E467" s="5" t="s">
        <v>92</v>
      </c>
      <c r="F467" s="5" t="s">
        <v>52</v>
      </c>
      <c r="G467" s="5">
        <v>1</v>
      </c>
      <c r="H467" s="5">
        <v>1</v>
      </c>
      <c r="I467" s="5">
        <v>641</v>
      </c>
      <c r="J467" s="13">
        <v>494900</v>
      </c>
      <c r="K467" s="15">
        <f t="shared" si="7"/>
        <v>772.07488299531985</v>
      </c>
      <c r="L467" s="5" t="s">
        <v>24</v>
      </c>
      <c r="M467" s="5" t="s">
        <v>29</v>
      </c>
      <c r="N467" s="5" t="s">
        <v>30</v>
      </c>
      <c r="O467" s="5" t="s">
        <v>46</v>
      </c>
    </row>
    <row r="468" spans="1:15" s="4" customFormat="1">
      <c r="A468" s="4">
        <v>467</v>
      </c>
      <c r="B468" s="5" t="s">
        <v>309</v>
      </c>
      <c r="C468" s="3">
        <v>45870</v>
      </c>
      <c r="D468" s="5" t="s">
        <v>39</v>
      </c>
      <c r="E468" s="5" t="s">
        <v>72</v>
      </c>
      <c r="F468" s="5" t="s">
        <v>34</v>
      </c>
      <c r="G468" s="5">
        <v>1</v>
      </c>
      <c r="H468" s="5">
        <v>1</v>
      </c>
      <c r="I468" s="5">
        <v>640</v>
      </c>
      <c r="J468" s="13">
        <v>338500</v>
      </c>
      <c r="K468" s="15">
        <f t="shared" si="7"/>
        <v>528.90625</v>
      </c>
      <c r="L468" s="5" t="s">
        <v>16</v>
      </c>
      <c r="M468" s="5" t="s">
        <v>29</v>
      </c>
      <c r="N468" s="5" t="s">
        <v>41</v>
      </c>
      <c r="O468" s="5" t="s">
        <v>46</v>
      </c>
    </row>
    <row r="469" spans="1:15" s="4" customFormat="1">
      <c r="A469" s="4">
        <v>468</v>
      </c>
      <c r="B469" s="5" t="s">
        <v>205</v>
      </c>
      <c r="C469" s="3">
        <v>45848</v>
      </c>
      <c r="D469" s="5" t="s">
        <v>48</v>
      </c>
      <c r="E469" s="5" t="s">
        <v>92</v>
      </c>
      <c r="F469" s="5" t="s">
        <v>34</v>
      </c>
      <c r="G469" s="5">
        <v>1</v>
      </c>
      <c r="H469" s="5">
        <v>1</v>
      </c>
      <c r="I469" s="5">
        <v>637</v>
      </c>
      <c r="J469" s="13">
        <v>468300</v>
      </c>
      <c r="K469" s="15">
        <f t="shared" si="7"/>
        <v>735.16483516483515</v>
      </c>
      <c r="L469" s="5" t="s">
        <v>24</v>
      </c>
      <c r="M469" s="5" t="s">
        <v>29</v>
      </c>
      <c r="N469" s="5" t="s">
        <v>41</v>
      </c>
      <c r="O469" s="5" t="s">
        <v>564</v>
      </c>
    </row>
    <row r="470" spans="1:15" s="4" customFormat="1">
      <c r="A470" s="4">
        <v>469</v>
      </c>
      <c r="B470" s="5" t="s">
        <v>161</v>
      </c>
      <c r="C470" s="3">
        <v>45932</v>
      </c>
      <c r="D470" s="5" t="s">
        <v>48</v>
      </c>
      <c r="E470" s="5" t="s">
        <v>61</v>
      </c>
      <c r="F470" s="5" t="s">
        <v>34</v>
      </c>
      <c r="G470" s="5">
        <v>1</v>
      </c>
      <c r="H470" s="5">
        <v>1</v>
      </c>
      <c r="I470" s="5">
        <v>630</v>
      </c>
      <c r="J470" s="13">
        <v>405300</v>
      </c>
      <c r="K470" s="15">
        <f t="shared" si="7"/>
        <v>643.33333333333337</v>
      </c>
      <c r="L470" s="5" t="s">
        <v>16</v>
      </c>
      <c r="M470" s="5" t="s">
        <v>17</v>
      </c>
      <c r="N470" s="5" t="s">
        <v>30</v>
      </c>
      <c r="O470" s="5" t="s">
        <v>42</v>
      </c>
    </row>
    <row r="471" spans="1:15" s="4" customFormat="1">
      <c r="A471" s="4">
        <v>470</v>
      </c>
      <c r="B471" s="5" t="s">
        <v>123</v>
      </c>
      <c r="C471" s="3">
        <v>46011</v>
      </c>
      <c r="D471" s="5" t="s">
        <v>32</v>
      </c>
      <c r="E471" s="5" t="s">
        <v>61</v>
      </c>
      <c r="F471" s="5" t="s">
        <v>23</v>
      </c>
      <c r="G471" s="5">
        <v>1</v>
      </c>
      <c r="H471" s="5">
        <v>1</v>
      </c>
      <c r="I471" s="5">
        <v>624</v>
      </c>
      <c r="J471" s="13">
        <v>219300</v>
      </c>
      <c r="K471" s="15">
        <f t="shared" si="7"/>
        <v>351.44230769230768</v>
      </c>
      <c r="L471" s="5" t="s">
        <v>53</v>
      </c>
      <c r="M471" s="5" t="s">
        <v>17</v>
      </c>
      <c r="N471" s="5" t="s">
        <v>30</v>
      </c>
      <c r="O471" s="5" t="s">
        <v>19</v>
      </c>
    </row>
    <row r="472" spans="1:15" s="4" customFormat="1">
      <c r="A472" s="4">
        <v>471</v>
      </c>
      <c r="B472" s="5" t="s">
        <v>417</v>
      </c>
      <c r="C472" s="3">
        <v>45885</v>
      </c>
      <c r="D472" s="5" t="s">
        <v>14</v>
      </c>
      <c r="E472" s="5" t="s">
        <v>567</v>
      </c>
      <c r="F472" s="5" t="s">
        <v>15</v>
      </c>
      <c r="G472" s="5">
        <v>1</v>
      </c>
      <c r="H472" s="5">
        <v>1</v>
      </c>
      <c r="I472" s="5">
        <v>623</v>
      </c>
      <c r="J472" s="13">
        <v>312200</v>
      </c>
      <c r="K472" s="15">
        <f t="shared" si="7"/>
        <v>501.12359550561797</v>
      </c>
      <c r="L472" s="5" t="s">
        <v>53</v>
      </c>
      <c r="M472" s="5" t="s">
        <v>29</v>
      </c>
      <c r="N472" s="5" t="s">
        <v>41</v>
      </c>
      <c r="O472" s="5" t="s">
        <v>37</v>
      </c>
    </row>
    <row r="473" spans="1:15" s="4" customFormat="1">
      <c r="A473" s="4">
        <v>472</v>
      </c>
      <c r="B473" s="5" t="s">
        <v>88</v>
      </c>
      <c r="C473" s="3">
        <v>46011</v>
      </c>
      <c r="D473" s="5" t="s">
        <v>39</v>
      </c>
      <c r="E473" s="5" t="s">
        <v>51</v>
      </c>
      <c r="F473" s="5" t="s">
        <v>15</v>
      </c>
      <c r="G473" s="5">
        <v>1</v>
      </c>
      <c r="H473" s="5">
        <v>1</v>
      </c>
      <c r="I473" s="5">
        <v>619</v>
      </c>
      <c r="J473" s="13">
        <v>365400</v>
      </c>
      <c r="K473" s="15">
        <f t="shared" si="7"/>
        <v>590.30694668820684</v>
      </c>
      <c r="L473" s="5" t="s">
        <v>16</v>
      </c>
      <c r="M473" s="5" t="s">
        <v>17</v>
      </c>
      <c r="N473" s="5" t="s">
        <v>30</v>
      </c>
      <c r="O473" s="5" t="s">
        <v>35</v>
      </c>
    </row>
    <row r="474" spans="1:15" s="4" customFormat="1">
      <c r="A474" s="4">
        <v>473</v>
      </c>
      <c r="B474" s="5" t="s">
        <v>277</v>
      </c>
      <c r="C474" s="3">
        <v>45755</v>
      </c>
      <c r="D474" s="5" t="s">
        <v>21</v>
      </c>
      <c r="E474" s="5" t="s">
        <v>109</v>
      </c>
      <c r="F474" s="5" t="s">
        <v>34</v>
      </c>
      <c r="G474" s="5">
        <v>1</v>
      </c>
      <c r="H474" s="5">
        <v>1</v>
      </c>
      <c r="I474" s="5">
        <v>619</v>
      </c>
      <c r="J474" s="13">
        <v>708400</v>
      </c>
      <c r="K474" s="15">
        <f t="shared" si="7"/>
        <v>1144.426494345719</v>
      </c>
      <c r="L474" s="5" t="s">
        <v>16</v>
      </c>
      <c r="M474" s="5" t="s">
        <v>17</v>
      </c>
      <c r="N474" s="5" t="s">
        <v>30</v>
      </c>
      <c r="O474" s="5" t="s">
        <v>42</v>
      </c>
    </row>
    <row r="475" spans="1:15" s="4" customFormat="1">
      <c r="A475" s="4">
        <v>474</v>
      </c>
      <c r="B475" s="5" t="s">
        <v>111</v>
      </c>
      <c r="C475" s="3">
        <v>46005</v>
      </c>
      <c r="D475" s="5" t="s">
        <v>32</v>
      </c>
      <c r="E475" s="5" t="s">
        <v>112</v>
      </c>
      <c r="F475" s="5" t="s">
        <v>52</v>
      </c>
      <c r="G475" s="5">
        <v>1</v>
      </c>
      <c r="H475" s="5">
        <v>1</v>
      </c>
      <c r="I475" s="5">
        <v>615</v>
      </c>
      <c r="J475" s="13">
        <v>188100</v>
      </c>
      <c r="K475" s="15">
        <f t="shared" si="7"/>
        <v>305.85365853658539</v>
      </c>
      <c r="L475" s="5" t="s">
        <v>53</v>
      </c>
      <c r="M475" s="5" t="s">
        <v>29</v>
      </c>
      <c r="N475" s="5" t="s">
        <v>30</v>
      </c>
      <c r="O475" s="5" t="s">
        <v>46</v>
      </c>
    </row>
    <row r="476" spans="1:15" s="4" customFormat="1">
      <c r="A476" s="4">
        <v>475</v>
      </c>
      <c r="B476" s="5" t="s">
        <v>206</v>
      </c>
      <c r="C476" s="3">
        <v>45881</v>
      </c>
      <c r="D476" s="5" t="s">
        <v>48</v>
      </c>
      <c r="E476" s="5" t="s">
        <v>49</v>
      </c>
      <c r="F476" s="5" t="s">
        <v>34</v>
      </c>
      <c r="G476" s="5">
        <v>1</v>
      </c>
      <c r="H476" s="5">
        <v>1</v>
      </c>
      <c r="I476" s="5">
        <v>613</v>
      </c>
      <c r="J476" s="13">
        <v>410500</v>
      </c>
      <c r="K476" s="15">
        <f t="shared" si="7"/>
        <v>669.65742251223492</v>
      </c>
      <c r="L476" s="5" t="s">
        <v>16</v>
      </c>
      <c r="M476" s="5" t="s">
        <v>29</v>
      </c>
      <c r="N476" s="5" t="s">
        <v>30</v>
      </c>
      <c r="O476" s="5" t="s">
        <v>37</v>
      </c>
    </row>
    <row r="477" spans="1:15" s="4" customFormat="1">
      <c r="A477" s="4">
        <v>476</v>
      </c>
      <c r="B477" s="5" t="s">
        <v>424</v>
      </c>
      <c r="C477" s="3">
        <v>45882</v>
      </c>
      <c r="D477" s="5" t="s">
        <v>21</v>
      </c>
      <c r="E477" s="5" t="s">
        <v>84</v>
      </c>
      <c r="F477" s="5" t="s">
        <v>15</v>
      </c>
      <c r="G477" s="5">
        <v>1</v>
      </c>
      <c r="H477" s="5">
        <v>1</v>
      </c>
      <c r="I477" s="5">
        <v>612</v>
      </c>
      <c r="J477" s="13">
        <v>567800</v>
      </c>
      <c r="K477" s="15">
        <f t="shared" si="7"/>
        <v>927.77777777777783</v>
      </c>
      <c r="L477" s="5" t="s">
        <v>24</v>
      </c>
      <c r="M477" s="5" t="s">
        <v>17</v>
      </c>
      <c r="N477" s="5" t="s">
        <v>41</v>
      </c>
      <c r="O477" s="5" t="s">
        <v>19</v>
      </c>
    </row>
    <row r="478" spans="1:15" s="4" customFormat="1">
      <c r="A478" s="4">
        <v>477</v>
      </c>
      <c r="B478" s="5" t="s">
        <v>130</v>
      </c>
      <c r="C478" s="3">
        <v>45685</v>
      </c>
      <c r="D478" s="5" t="s">
        <v>21</v>
      </c>
      <c r="E478" s="5" t="s">
        <v>67</v>
      </c>
      <c r="F478" s="5" t="s">
        <v>52</v>
      </c>
      <c r="G478" s="5">
        <v>1</v>
      </c>
      <c r="H478" s="5">
        <v>1</v>
      </c>
      <c r="I478" s="5">
        <v>612</v>
      </c>
      <c r="J478" s="13">
        <v>641000</v>
      </c>
      <c r="K478" s="15">
        <f t="shared" si="7"/>
        <v>1047.3856209150326</v>
      </c>
      <c r="L478" s="5" t="s">
        <v>16</v>
      </c>
      <c r="M478" s="5" t="s">
        <v>29</v>
      </c>
      <c r="N478" s="5" t="s">
        <v>41</v>
      </c>
      <c r="O478" s="5" t="s">
        <v>37</v>
      </c>
    </row>
    <row r="479" spans="1:15" s="4" customFormat="1">
      <c r="A479" s="4">
        <v>478</v>
      </c>
      <c r="B479" s="5" t="s">
        <v>297</v>
      </c>
      <c r="C479" s="3">
        <v>45705</v>
      </c>
      <c r="D479" s="5" t="s">
        <v>39</v>
      </c>
      <c r="E479" s="5" t="s">
        <v>51</v>
      </c>
      <c r="F479" s="5" t="s">
        <v>15</v>
      </c>
      <c r="G479" s="5">
        <v>1</v>
      </c>
      <c r="H479" s="5">
        <v>1</v>
      </c>
      <c r="I479" s="5">
        <v>605</v>
      </c>
      <c r="J479" s="13">
        <v>306900</v>
      </c>
      <c r="K479" s="15">
        <f t="shared" si="7"/>
        <v>507.27272727272725</v>
      </c>
      <c r="L479" s="5" t="s">
        <v>24</v>
      </c>
      <c r="M479" s="5" t="s">
        <v>17</v>
      </c>
      <c r="N479" s="5" t="s">
        <v>30</v>
      </c>
      <c r="O479" s="5" t="s">
        <v>19</v>
      </c>
    </row>
    <row r="480" spans="1:15" s="4" customFormat="1">
      <c r="A480" s="4">
        <v>479</v>
      </c>
      <c r="B480" s="5" t="s">
        <v>549</v>
      </c>
      <c r="C480" s="3">
        <v>45956</v>
      </c>
      <c r="D480" s="5" t="s">
        <v>39</v>
      </c>
      <c r="E480" s="5" t="s">
        <v>40</v>
      </c>
      <c r="F480" s="5" t="s">
        <v>23</v>
      </c>
      <c r="G480" s="5">
        <v>2</v>
      </c>
      <c r="H480" s="5">
        <v>2</v>
      </c>
      <c r="I480" s="5">
        <v>605</v>
      </c>
      <c r="J480" s="13">
        <v>332700</v>
      </c>
      <c r="K480" s="15">
        <f t="shared" si="7"/>
        <v>549.91735537190084</v>
      </c>
      <c r="L480" s="5" t="s">
        <v>16</v>
      </c>
      <c r="M480" s="5" t="s">
        <v>29</v>
      </c>
      <c r="N480" s="5" t="s">
        <v>30</v>
      </c>
      <c r="O480" s="5" t="s">
        <v>37</v>
      </c>
    </row>
    <row r="481" spans="1:15" s="4" customFormat="1">
      <c r="A481" s="4">
        <v>480</v>
      </c>
      <c r="B481" s="5" t="s">
        <v>117</v>
      </c>
      <c r="C481" s="3">
        <v>45850</v>
      </c>
      <c r="D481" s="5" t="s">
        <v>27</v>
      </c>
      <c r="E481" s="5" t="s">
        <v>56</v>
      </c>
      <c r="F481" s="5" t="s">
        <v>23</v>
      </c>
      <c r="G481" s="5">
        <v>2</v>
      </c>
      <c r="H481" s="5">
        <v>2</v>
      </c>
      <c r="I481" s="5">
        <v>603</v>
      </c>
      <c r="J481" s="13">
        <v>472000</v>
      </c>
      <c r="K481" s="15">
        <f t="shared" si="7"/>
        <v>782.75290215588723</v>
      </c>
      <c r="L481" s="5" t="s">
        <v>53</v>
      </c>
      <c r="M481" s="5" t="s">
        <v>29</v>
      </c>
      <c r="N481" s="5" t="s">
        <v>18</v>
      </c>
      <c r="O481" s="5" t="s">
        <v>35</v>
      </c>
    </row>
    <row r="482" spans="1:15" s="4" customFormat="1">
      <c r="A482" s="4">
        <v>481</v>
      </c>
      <c r="B482" s="5" t="s">
        <v>250</v>
      </c>
      <c r="C482" s="3">
        <v>45834</v>
      </c>
      <c r="D482" s="5" t="s">
        <v>32</v>
      </c>
      <c r="E482" s="5" t="s">
        <v>33</v>
      </c>
      <c r="F482" s="5" t="s">
        <v>34</v>
      </c>
      <c r="G482" s="5">
        <v>1</v>
      </c>
      <c r="H482" s="5">
        <v>1</v>
      </c>
      <c r="I482" s="5">
        <v>599</v>
      </c>
      <c r="J482" s="13">
        <v>230400</v>
      </c>
      <c r="K482" s="15">
        <f t="shared" si="7"/>
        <v>384.64106844741235</v>
      </c>
      <c r="L482" s="5" t="s">
        <v>16</v>
      </c>
      <c r="M482" s="5" t="s">
        <v>17</v>
      </c>
      <c r="N482" s="5" t="s">
        <v>18</v>
      </c>
      <c r="O482" s="5" t="s">
        <v>37</v>
      </c>
    </row>
    <row r="483" spans="1:15" s="4" customFormat="1">
      <c r="A483" s="4">
        <v>482</v>
      </c>
      <c r="B483" s="5" t="s">
        <v>256</v>
      </c>
      <c r="C483" s="3">
        <v>45803</v>
      </c>
      <c r="D483" s="5" t="s">
        <v>48</v>
      </c>
      <c r="E483" s="5" t="s">
        <v>567</v>
      </c>
      <c r="F483" s="5" t="s">
        <v>15</v>
      </c>
      <c r="G483" s="5">
        <v>1</v>
      </c>
      <c r="H483" s="5">
        <v>1</v>
      </c>
      <c r="I483" s="5">
        <v>599</v>
      </c>
      <c r="J483" s="13">
        <v>446000</v>
      </c>
      <c r="K483" s="15">
        <f t="shared" si="7"/>
        <v>744.57429048414019</v>
      </c>
      <c r="L483" s="5" t="s">
        <v>53</v>
      </c>
      <c r="M483" s="5" t="s">
        <v>17</v>
      </c>
      <c r="N483" s="5" t="s">
        <v>18</v>
      </c>
      <c r="O483" s="5" t="s">
        <v>35</v>
      </c>
    </row>
    <row r="484" spans="1:15" s="4" customFormat="1">
      <c r="A484" s="4">
        <v>483</v>
      </c>
      <c r="B484" s="5" t="s">
        <v>368</v>
      </c>
      <c r="C484" s="3">
        <v>45686</v>
      </c>
      <c r="D484" s="5" t="s">
        <v>48</v>
      </c>
      <c r="E484" s="5" t="s">
        <v>92</v>
      </c>
      <c r="F484" s="5" t="s">
        <v>23</v>
      </c>
      <c r="G484" s="5">
        <v>1</v>
      </c>
      <c r="H484" s="5">
        <v>1</v>
      </c>
      <c r="I484" s="5">
        <v>599</v>
      </c>
      <c r="J484" s="13">
        <v>462700</v>
      </c>
      <c r="K484" s="15">
        <f t="shared" si="7"/>
        <v>772.45409015025041</v>
      </c>
      <c r="L484" s="5" t="s">
        <v>16</v>
      </c>
      <c r="M484" s="5" t="s">
        <v>17</v>
      </c>
      <c r="N484" s="5" t="s">
        <v>30</v>
      </c>
      <c r="O484" s="5" t="s">
        <v>46</v>
      </c>
    </row>
    <row r="485" spans="1:15" s="4" customFormat="1">
      <c r="A485" s="4">
        <v>484</v>
      </c>
      <c r="B485" s="5" t="s">
        <v>425</v>
      </c>
      <c r="C485" s="3">
        <v>45891</v>
      </c>
      <c r="D485" s="5" t="s">
        <v>32</v>
      </c>
      <c r="E485" s="5" t="s">
        <v>33</v>
      </c>
      <c r="F485" s="5" t="s">
        <v>23</v>
      </c>
      <c r="G485" s="5">
        <v>3</v>
      </c>
      <c r="H485" s="5">
        <v>1</v>
      </c>
      <c r="I485" s="5">
        <v>588</v>
      </c>
      <c r="J485" s="13">
        <v>188200</v>
      </c>
      <c r="K485" s="15">
        <f t="shared" si="7"/>
        <v>320.06802721088434</v>
      </c>
      <c r="L485" s="5" t="s">
        <v>53</v>
      </c>
      <c r="M485" s="5" t="s">
        <v>17</v>
      </c>
      <c r="N485" s="5" t="s">
        <v>41</v>
      </c>
      <c r="O485" s="5" t="s">
        <v>25</v>
      </c>
    </row>
    <row r="486" spans="1:15" s="4" customFormat="1">
      <c r="A486" s="4">
        <v>485</v>
      </c>
      <c r="B486" s="5" t="s">
        <v>396</v>
      </c>
      <c r="C486" s="3">
        <v>45798</v>
      </c>
      <c r="D486" s="5" t="s">
        <v>48</v>
      </c>
      <c r="E486" s="5" t="s">
        <v>92</v>
      </c>
      <c r="F486" s="5" t="s">
        <v>15</v>
      </c>
      <c r="G486" s="5">
        <v>2</v>
      </c>
      <c r="H486" s="5">
        <v>2</v>
      </c>
      <c r="I486" s="5">
        <v>581</v>
      </c>
      <c r="J486" s="13">
        <v>404200</v>
      </c>
      <c r="K486" s="15">
        <f t="shared" si="7"/>
        <v>695.69707401032701</v>
      </c>
      <c r="L486" s="5" t="s">
        <v>53</v>
      </c>
      <c r="M486" s="5" t="s">
        <v>17</v>
      </c>
      <c r="N486" s="5" t="s">
        <v>41</v>
      </c>
      <c r="O486" s="5" t="s">
        <v>25</v>
      </c>
    </row>
    <row r="487" spans="1:15" s="4" customFormat="1">
      <c r="A487" s="4">
        <v>486</v>
      </c>
      <c r="B487" s="5" t="s">
        <v>70</v>
      </c>
      <c r="C487" s="3">
        <v>45713</v>
      </c>
      <c r="D487" s="5" t="s">
        <v>48</v>
      </c>
      <c r="E487" s="5" t="s">
        <v>49</v>
      </c>
      <c r="F487" s="5" t="s">
        <v>15</v>
      </c>
      <c r="G487" s="5">
        <v>1</v>
      </c>
      <c r="H487" s="5">
        <v>1</v>
      </c>
      <c r="I487" s="5">
        <v>578</v>
      </c>
      <c r="J487" s="13">
        <v>404500</v>
      </c>
      <c r="K487" s="15">
        <f t="shared" si="7"/>
        <v>699.82698961937717</v>
      </c>
      <c r="L487" s="5" t="s">
        <v>16</v>
      </c>
      <c r="M487" s="5" t="s">
        <v>29</v>
      </c>
      <c r="N487" s="5" t="s">
        <v>18</v>
      </c>
      <c r="O487" s="5" t="s">
        <v>35</v>
      </c>
    </row>
    <row r="488" spans="1:15" s="4" customFormat="1">
      <c r="A488" s="4">
        <v>487</v>
      </c>
      <c r="B488" s="5" t="s">
        <v>379</v>
      </c>
      <c r="C488" s="3">
        <v>45711</v>
      </c>
      <c r="D488" s="5" t="s">
        <v>21</v>
      </c>
      <c r="E488" s="5" t="s">
        <v>84</v>
      </c>
      <c r="F488" s="5" t="s">
        <v>34</v>
      </c>
      <c r="G488" s="5">
        <v>1</v>
      </c>
      <c r="H488" s="5">
        <v>1</v>
      </c>
      <c r="I488" s="5">
        <v>576</v>
      </c>
      <c r="J488" s="13">
        <v>582500</v>
      </c>
      <c r="K488" s="15">
        <f t="shared" si="7"/>
        <v>1011.2847222222222</v>
      </c>
      <c r="L488" s="5" t="s">
        <v>16</v>
      </c>
      <c r="M488" s="5" t="s">
        <v>17</v>
      </c>
      <c r="N488" s="5" t="s">
        <v>18</v>
      </c>
      <c r="O488" s="5" t="s">
        <v>25</v>
      </c>
    </row>
    <row r="489" spans="1:15" s="4" customFormat="1">
      <c r="A489" s="4">
        <v>488</v>
      </c>
      <c r="B489" s="5" t="s">
        <v>473</v>
      </c>
      <c r="C489" s="3">
        <v>45763</v>
      </c>
      <c r="D489" s="5" t="s">
        <v>44</v>
      </c>
      <c r="E489" s="5" t="s">
        <v>65</v>
      </c>
      <c r="F489" s="5" t="s">
        <v>34</v>
      </c>
      <c r="G489" s="5">
        <v>2</v>
      </c>
      <c r="H489" s="5">
        <v>2</v>
      </c>
      <c r="I489" s="5">
        <v>572</v>
      </c>
      <c r="J489" s="13">
        <v>239900</v>
      </c>
      <c r="K489" s="15">
        <f t="shared" si="7"/>
        <v>419.4055944055944</v>
      </c>
      <c r="L489" s="5" t="s">
        <v>24</v>
      </c>
      <c r="M489" s="5" t="s">
        <v>17</v>
      </c>
      <c r="N489" s="5" t="s">
        <v>30</v>
      </c>
      <c r="O489" s="5" t="s">
        <v>25</v>
      </c>
    </row>
    <row r="490" spans="1:15" s="4" customFormat="1">
      <c r="A490" s="4">
        <v>489</v>
      </c>
      <c r="B490" s="5" t="s">
        <v>253</v>
      </c>
      <c r="C490" s="3">
        <v>45660</v>
      </c>
      <c r="D490" s="5" t="s">
        <v>39</v>
      </c>
      <c r="E490" s="5" t="s">
        <v>40</v>
      </c>
      <c r="F490" s="5" t="s">
        <v>52</v>
      </c>
      <c r="G490" s="5">
        <v>1</v>
      </c>
      <c r="H490" s="5">
        <v>1</v>
      </c>
      <c r="I490" s="5">
        <v>563</v>
      </c>
      <c r="J490" s="13">
        <v>334500</v>
      </c>
      <c r="K490" s="15">
        <f t="shared" si="7"/>
        <v>594.13854351687394</v>
      </c>
      <c r="L490" s="5" t="s">
        <v>24</v>
      </c>
      <c r="M490" s="5" t="s">
        <v>29</v>
      </c>
      <c r="N490" s="5" t="s">
        <v>30</v>
      </c>
      <c r="O490" s="5" t="s">
        <v>42</v>
      </c>
    </row>
    <row r="491" spans="1:15" s="4" customFormat="1">
      <c r="A491" s="4">
        <v>490</v>
      </c>
      <c r="B491" s="5" t="s">
        <v>353</v>
      </c>
      <c r="C491" s="3">
        <v>45815</v>
      </c>
      <c r="D491" s="5" t="s">
        <v>14</v>
      </c>
      <c r="E491" s="5" t="s">
        <v>567</v>
      </c>
      <c r="F491" s="5" t="s">
        <v>34</v>
      </c>
      <c r="G491" s="5">
        <v>1</v>
      </c>
      <c r="H491" s="5">
        <v>1</v>
      </c>
      <c r="I491" s="5">
        <v>562</v>
      </c>
      <c r="J491" s="13">
        <v>339800</v>
      </c>
      <c r="K491" s="15">
        <f t="shared" si="7"/>
        <v>604.62633451957299</v>
      </c>
      <c r="L491" s="5" t="s">
        <v>16</v>
      </c>
      <c r="M491" s="5" t="s">
        <v>29</v>
      </c>
      <c r="N491" s="5" t="s">
        <v>41</v>
      </c>
      <c r="O491" s="5" t="s">
        <v>46</v>
      </c>
    </row>
    <row r="492" spans="1:15" s="4" customFormat="1">
      <c r="A492" s="4">
        <v>491</v>
      </c>
      <c r="B492" s="5" t="s">
        <v>293</v>
      </c>
      <c r="C492" s="3">
        <v>45696</v>
      </c>
      <c r="D492" s="5" t="s">
        <v>48</v>
      </c>
      <c r="E492" s="5" t="s">
        <v>49</v>
      </c>
      <c r="F492" s="5" t="s">
        <v>34</v>
      </c>
      <c r="G492" s="5">
        <v>1</v>
      </c>
      <c r="H492" s="5">
        <v>1</v>
      </c>
      <c r="I492" s="5">
        <v>557</v>
      </c>
      <c r="J492" s="13">
        <v>404700</v>
      </c>
      <c r="K492" s="15">
        <f t="shared" si="7"/>
        <v>726.57091561938955</v>
      </c>
      <c r="L492" s="5" t="s">
        <v>53</v>
      </c>
      <c r="M492" s="5" t="s">
        <v>17</v>
      </c>
      <c r="N492" s="5" t="s">
        <v>30</v>
      </c>
      <c r="O492" s="5" t="s">
        <v>19</v>
      </c>
    </row>
    <row r="493" spans="1:15" s="4" customFormat="1">
      <c r="A493" s="4">
        <v>492</v>
      </c>
      <c r="B493" s="5" t="s">
        <v>286</v>
      </c>
      <c r="C493" s="3">
        <v>45666</v>
      </c>
      <c r="D493" s="5" t="s">
        <v>21</v>
      </c>
      <c r="E493" s="5" t="s">
        <v>84</v>
      </c>
      <c r="F493" s="5" t="s">
        <v>52</v>
      </c>
      <c r="G493" s="5">
        <v>1</v>
      </c>
      <c r="H493" s="5">
        <v>1</v>
      </c>
      <c r="I493" s="5">
        <v>557</v>
      </c>
      <c r="J493" s="13">
        <v>635600</v>
      </c>
      <c r="K493" s="15">
        <f t="shared" si="7"/>
        <v>1141.1131059245961</v>
      </c>
      <c r="L493" s="5" t="s">
        <v>24</v>
      </c>
      <c r="M493" s="5" t="s">
        <v>17</v>
      </c>
      <c r="N493" s="5" t="s">
        <v>18</v>
      </c>
      <c r="O493" s="5" t="s">
        <v>19</v>
      </c>
    </row>
    <row r="494" spans="1:15" s="4" customFormat="1">
      <c r="A494" s="4">
        <v>493</v>
      </c>
      <c r="B494" s="5" t="s">
        <v>190</v>
      </c>
      <c r="C494" s="3">
        <v>45836</v>
      </c>
      <c r="D494" s="5" t="s">
        <v>44</v>
      </c>
      <c r="E494" s="5" t="s">
        <v>100</v>
      </c>
      <c r="F494" s="5" t="s">
        <v>23</v>
      </c>
      <c r="G494" s="5">
        <v>1</v>
      </c>
      <c r="H494" s="5">
        <v>1</v>
      </c>
      <c r="I494" s="5">
        <v>553</v>
      </c>
      <c r="J494" s="13">
        <v>233900</v>
      </c>
      <c r="K494" s="15">
        <f t="shared" si="7"/>
        <v>422.96564195298373</v>
      </c>
      <c r="L494" s="5" t="s">
        <v>53</v>
      </c>
      <c r="M494" s="5" t="s">
        <v>29</v>
      </c>
      <c r="N494" s="5" t="s">
        <v>18</v>
      </c>
      <c r="O494" s="5" t="s">
        <v>19</v>
      </c>
    </row>
    <row r="495" spans="1:15" s="4" customFormat="1">
      <c r="A495" s="4">
        <v>494</v>
      </c>
      <c r="B495" s="5" t="s">
        <v>383</v>
      </c>
      <c r="C495" s="3">
        <v>45984</v>
      </c>
      <c r="D495" s="5" t="s">
        <v>48</v>
      </c>
      <c r="E495" s="5" t="s">
        <v>61</v>
      </c>
      <c r="F495" s="5" t="s">
        <v>23</v>
      </c>
      <c r="G495" s="5">
        <v>1</v>
      </c>
      <c r="H495" s="5">
        <v>1</v>
      </c>
      <c r="I495" s="5">
        <v>552</v>
      </c>
      <c r="J495" s="13">
        <v>362700</v>
      </c>
      <c r="K495" s="15">
        <f t="shared" si="7"/>
        <v>657.06521739130437</v>
      </c>
      <c r="L495" s="5" t="s">
        <v>53</v>
      </c>
      <c r="M495" s="5" t="s">
        <v>29</v>
      </c>
      <c r="N495" s="5" t="s">
        <v>30</v>
      </c>
      <c r="O495" s="5" t="s">
        <v>19</v>
      </c>
    </row>
    <row r="496" spans="1:15" s="4" customFormat="1">
      <c r="A496" s="4">
        <v>495</v>
      </c>
      <c r="B496" s="5" t="s">
        <v>421</v>
      </c>
      <c r="C496" s="3">
        <v>46001</v>
      </c>
      <c r="D496" s="5" t="s">
        <v>39</v>
      </c>
      <c r="E496" s="5" t="s">
        <v>72</v>
      </c>
      <c r="F496" s="5" t="s">
        <v>52</v>
      </c>
      <c r="G496" s="5">
        <v>2</v>
      </c>
      <c r="H496" s="5">
        <v>2</v>
      </c>
      <c r="I496" s="5">
        <v>549</v>
      </c>
      <c r="J496" s="13">
        <v>264000</v>
      </c>
      <c r="K496" s="15">
        <f t="shared" si="7"/>
        <v>480.87431693989072</v>
      </c>
      <c r="L496" s="5" t="s">
        <v>16</v>
      </c>
      <c r="M496" s="5" t="s">
        <v>29</v>
      </c>
      <c r="N496" s="5" t="s">
        <v>41</v>
      </c>
      <c r="O496" s="5" t="s">
        <v>42</v>
      </c>
    </row>
    <row r="497" spans="1:15" s="4" customFormat="1">
      <c r="A497" s="4">
        <v>496</v>
      </c>
      <c r="B497" s="5" t="s">
        <v>462</v>
      </c>
      <c r="C497" s="3">
        <v>45814</v>
      </c>
      <c r="D497" s="5" t="s">
        <v>44</v>
      </c>
      <c r="E497" s="5" t="s">
        <v>65</v>
      </c>
      <c r="F497" s="5" t="s">
        <v>15</v>
      </c>
      <c r="G497" s="5">
        <v>1</v>
      </c>
      <c r="H497" s="5">
        <v>1</v>
      </c>
      <c r="I497" s="5">
        <v>530</v>
      </c>
      <c r="J497" s="13">
        <v>252800</v>
      </c>
      <c r="K497" s="15">
        <f t="shared" si="7"/>
        <v>476.98113207547169</v>
      </c>
      <c r="L497" s="5" t="s">
        <v>16</v>
      </c>
      <c r="M497" s="5" t="s">
        <v>17</v>
      </c>
      <c r="N497" s="5" t="s">
        <v>18</v>
      </c>
      <c r="O497" s="5" t="s">
        <v>25</v>
      </c>
    </row>
    <row r="498" spans="1:15" s="4" customFormat="1">
      <c r="A498" s="4">
        <v>497</v>
      </c>
      <c r="B498" s="5" t="s">
        <v>64</v>
      </c>
      <c r="C498" s="3">
        <v>46020</v>
      </c>
      <c r="D498" s="5" t="s">
        <v>44</v>
      </c>
      <c r="E498" s="5" t="s">
        <v>65</v>
      </c>
      <c r="F498" s="5" t="s">
        <v>34</v>
      </c>
      <c r="G498" s="5">
        <v>1</v>
      </c>
      <c r="H498" s="5">
        <v>1</v>
      </c>
      <c r="I498" s="5">
        <v>502</v>
      </c>
      <c r="J498" s="13">
        <v>208300</v>
      </c>
      <c r="K498" s="15">
        <f t="shared" si="7"/>
        <v>414.9402390438247</v>
      </c>
      <c r="L498" s="5" t="s">
        <v>24</v>
      </c>
      <c r="M498" s="5" t="s">
        <v>29</v>
      </c>
      <c r="N498" s="5" t="s">
        <v>18</v>
      </c>
      <c r="O498" s="5" t="s">
        <v>19</v>
      </c>
    </row>
    <row r="499" spans="1:15" s="4" customFormat="1">
      <c r="A499" s="4">
        <v>498</v>
      </c>
      <c r="B499" s="5" t="s">
        <v>148</v>
      </c>
      <c r="C499" s="3">
        <v>45883</v>
      </c>
      <c r="D499" s="5" t="s">
        <v>48</v>
      </c>
      <c r="E499" s="5" t="s">
        <v>92</v>
      </c>
      <c r="F499" s="5" t="s">
        <v>52</v>
      </c>
      <c r="G499" s="5">
        <v>1</v>
      </c>
      <c r="H499" s="5">
        <v>1</v>
      </c>
      <c r="I499" s="5">
        <v>493</v>
      </c>
      <c r="J499" s="13">
        <v>375100</v>
      </c>
      <c r="K499" s="15">
        <f t="shared" si="7"/>
        <v>760.85192697768764</v>
      </c>
      <c r="L499" s="5" t="s">
        <v>16</v>
      </c>
      <c r="M499" s="5" t="s">
        <v>17</v>
      </c>
      <c r="N499" s="5" t="s">
        <v>18</v>
      </c>
      <c r="O499" s="5" t="s">
        <v>42</v>
      </c>
    </row>
    <row r="500" spans="1:15" s="4" customFormat="1">
      <c r="A500" s="4">
        <v>499</v>
      </c>
      <c r="B500" s="5" t="s">
        <v>135</v>
      </c>
      <c r="C500" s="3">
        <v>45734</v>
      </c>
      <c r="D500" s="5" t="s">
        <v>14</v>
      </c>
      <c r="E500" s="5" t="s">
        <v>56</v>
      </c>
      <c r="F500" s="5" t="s">
        <v>52</v>
      </c>
      <c r="G500" s="5">
        <v>1</v>
      </c>
      <c r="H500" s="5">
        <v>1</v>
      </c>
      <c r="I500" s="5">
        <v>474</v>
      </c>
      <c r="J500" s="13">
        <v>257500</v>
      </c>
      <c r="K500" s="15">
        <f t="shared" si="7"/>
        <v>543.24894514767936</v>
      </c>
      <c r="L500" s="5" t="s">
        <v>53</v>
      </c>
      <c r="M500" s="5" t="s">
        <v>29</v>
      </c>
      <c r="N500" s="5" t="s">
        <v>18</v>
      </c>
      <c r="O500" s="5" t="s">
        <v>19</v>
      </c>
    </row>
    <row r="501" spans="1:15" s="4" customFormat="1">
      <c r="A501" s="4">
        <v>500</v>
      </c>
      <c r="B501" s="5" t="s">
        <v>210</v>
      </c>
      <c r="C501" s="3">
        <v>45714</v>
      </c>
      <c r="D501" s="5" t="s">
        <v>44</v>
      </c>
      <c r="E501" s="5" t="s">
        <v>100</v>
      </c>
      <c r="F501" s="5" t="s">
        <v>15</v>
      </c>
      <c r="G501" s="5">
        <v>1</v>
      </c>
      <c r="H501" s="5">
        <v>1</v>
      </c>
      <c r="I501" s="5">
        <v>467</v>
      </c>
      <c r="J501" s="13">
        <v>196800</v>
      </c>
      <c r="K501" s="15">
        <f t="shared" si="7"/>
        <v>421.41327623126341</v>
      </c>
      <c r="L501" s="5" t="s">
        <v>53</v>
      </c>
      <c r="M501" s="5" t="s">
        <v>29</v>
      </c>
      <c r="N501" s="5" t="s">
        <v>41</v>
      </c>
      <c r="O501" s="5" t="s">
        <v>35</v>
      </c>
    </row>
    <row r="502" spans="1:15" s="4" customFormat="1">
      <c r="A502" s="4">
        <v>501</v>
      </c>
      <c r="B502" s="5" t="s">
        <v>499</v>
      </c>
      <c r="C502" s="3">
        <v>45770</v>
      </c>
      <c r="D502" s="5" t="s">
        <v>39</v>
      </c>
      <c r="E502" s="5" t="s">
        <v>61</v>
      </c>
      <c r="F502" s="5" t="s">
        <v>34</v>
      </c>
      <c r="G502" s="5">
        <v>1</v>
      </c>
      <c r="H502" s="5">
        <v>1</v>
      </c>
      <c r="I502" s="5">
        <v>454</v>
      </c>
      <c r="J502" s="13">
        <v>277900</v>
      </c>
      <c r="K502" s="15">
        <f t="shared" si="7"/>
        <v>612.11453744493394</v>
      </c>
      <c r="L502" s="5" t="s">
        <v>24</v>
      </c>
      <c r="M502" s="5" t="s">
        <v>29</v>
      </c>
      <c r="N502" s="5" t="s">
        <v>30</v>
      </c>
      <c r="O502" s="5" t="s">
        <v>25</v>
      </c>
    </row>
    <row r="503" spans="1:15" s="4" customFormat="1">
      <c r="A503" s="4">
        <v>502</v>
      </c>
      <c r="B503" s="5" t="s">
        <v>212</v>
      </c>
      <c r="C503" s="3">
        <v>45668</v>
      </c>
      <c r="D503" s="5" t="s">
        <v>14</v>
      </c>
      <c r="E503" s="5" t="s">
        <v>567</v>
      </c>
      <c r="F503" s="5" t="s">
        <v>34</v>
      </c>
      <c r="G503" s="5">
        <v>1</v>
      </c>
      <c r="H503" s="5">
        <v>1</v>
      </c>
      <c r="I503" s="5">
        <v>452</v>
      </c>
      <c r="J503" s="13">
        <v>283200</v>
      </c>
      <c r="K503" s="15">
        <f t="shared" si="7"/>
        <v>626.54867256637169</v>
      </c>
      <c r="L503" s="5" t="s">
        <v>53</v>
      </c>
      <c r="M503" s="5" t="s">
        <v>17</v>
      </c>
      <c r="N503" s="5" t="s">
        <v>18</v>
      </c>
      <c r="O503" s="5" t="s">
        <v>42</v>
      </c>
    </row>
    <row r="504" spans="1:15" s="4" customFormat="1">
      <c r="A504" s="4">
        <v>503</v>
      </c>
      <c r="B504" s="5" t="s">
        <v>382</v>
      </c>
      <c r="C504" s="3">
        <v>45842</v>
      </c>
      <c r="D504" s="5" t="s">
        <v>32</v>
      </c>
      <c r="E504" s="5" t="s">
        <v>77</v>
      </c>
      <c r="F504" s="5" t="s">
        <v>15</v>
      </c>
      <c r="G504" s="5">
        <v>1</v>
      </c>
      <c r="H504" s="5">
        <v>1</v>
      </c>
      <c r="I504" s="5">
        <v>450</v>
      </c>
      <c r="J504" s="13">
        <v>124400</v>
      </c>
      <c r="K504" s="15">
        <f t="shared" si="7"/>
        <v>276.44444444444446</v>
      </c>
      <c r="L504" s="5" t="s">
        <v>24</v>
      </c>
      <c r="M504" s="5" t="s">
        <v>17</v>
      </c>
      <c r="N504" s="5" t="s">
        <v>18</v>
      </c>
      <c r="O504" s="5" t="s">
        <v>37</v>
      </c>
    </row>
    <row r="505" spans="1:15" s="4" customFormat="1">
      <c r="A505" s="4">
        <v>504</v>
      </c>
      <c r="B505" s="5" t="s">
        <v>435</v>
      </c>
      <c r="C505" s="3">
        <v>45832</v>
      </c>
      <c r="D505" s="5" t="s">
        <v>32</v>
      </c>
      <c r="E505" s="5" t="s">
        <v>112</v>
      </c>
      <c r="F505" s="5" t="s">
        <v>15</v>
      </c>
      <c r="G505" s="5">
        <v>1</v>
      </c>
      <c r="H505" s="5">
        <v>1</v>
      </c>
      <c r="I505" s="5">
        <v>450</v>
      </c>
      <c r="J505" s="13">
        <v>126900</v>
      </c>
      <c r="K505" s="15">
        <f t="shared" si="7"/>
        <v>282</v>
      </c>
      <c r="L505" s="5" t="s">
        <v>53</v>
      </c>
      <c r="M505" s="5" t="s">
        <v>17</v>
      </c>
      <c r="N505" s="5" t="s">
        <v>41</v>
      </c>
      <c r="O505" s="5" t="s">
        <v>35</v>
      </c>
    </row>
    <row r="506" spans="1:15" s="4" customFormat="1">
      <c r="A506" s="4">
        <v>505</v>
      </c>
      <c r="B506" s="5" t="s">
        <v>551</v>
      </c>
      <c r="C506" s="3">
        <v>45829</v>
      </c>
      <c r="D506" s="5" t="s">
        <v>32</v>
      </c>
      <c r="E506" s="5" t="s">
        <v>61</v>
      </c>
      <c r="F506" s="5" t="s">
        <v>52</v>
      </c>
      <c r="G506" s="5">
        <v>1</v>
      </c>
      <c r="H506" s="5">
        <v>1</v>
      </c>
      <c r="I506" s="5">
        <v>450</v>
      </c>
      <c r="J506" s="13">
        <v>160000</v>
      </c>
      <c r="K506" s="15">
        <f t="shared" si="7"/>
        <v>355.55555555555554</v>
      </c>
      <c r="L506" s="5" t="s">
        <v>53</v>
      </c>
      <c r="M506" s="5" t="s">
        <v>17</v>
      </c>
      <c r="N506" s="5" t="s">
        <v>30</v>
      </c>
      <c r="O506" s="5" t="s">
        <v>19</v>
      </c>
    </row>
    <row r="507" spans="1:15" s="4" customFormat="1">
      <c r="A507" s="4">
        <v>506</v>
      </c>
      <c r="B507" s="5" t="s">
        <v>330</v>
      </c>
      <c r="C507" s="3">
        <v>45738</v>
      </c>
      <c r="D507" s="5" t="s">
        <v>48</v>
      </c>
      <c r="E507" s="5" t="s">
        <v>49</v>
      </c>
      <c r="F507" s="5" t="s">
        <v>15</v>
      </c>
      <c r="G507" s="5">
        <v>1</v>
      </c>
      <c r="H507" s="5">
        <v>1</v>
      </c>
      <c r="I507" s="5">
        <v>677</v>
      </c>
      <c r="J507" s="13">
        <v>402000</v>
      </c>
      <c r="K507" s="15">
        <f t="shared" si="7"/>
        <v>593.79615952732649</v>
      </c>
      <c r="L507" s="5" t="s">
        <v>53</v>
      </c>
      <c r="M507" s="5" t="s">
        <v>17</v>
      </c>
      <c r="N507" s="5" t="s">
        <v>18</v>
      </c>
      <c r="O507" s="5" t="s">
        <v>25</v>
      </c>
    </row>
    <row r="508" spans="1:15" s="4" customFormat="1">
      <c r="A508" s="4">
        <v>507</v>
      </c>
      <c r="B508" s="5" t="s">
        <v>527</v>
      </c>
      <c r="C508" s="3">
        <v>45858</v>
      </c>
      <c r="D508" s="5" t="s">
        <v>39</v>
      </c>
      <c r="E508" s="5" t="s">
        <v>61</v>
      </c>
      <c r="F508" s="5" t="s">
        <v>34</v>
      </c>
      <c r="G508" s="5">
        <v>3</v>
      </c>
      <c r="H508" s="5">
        <v>1</v>
      </c>
      <c r="I508" s="5">
        <v>716</v>
      </c>
      <c r="J508" s="13">
        <v>373300</v>
      </c>
      <c r="K508" s="15">
        <f t="shared" si="7"/>
        <v>521.36871508379886</v>
      </c>
      <c r="L508" s="5" t="s">
        <v>16</v>
      </c>
      <c r="M508" s="5" t="s">
        <v>17</v>
      </c>
      <c r="N508" s="5" t="s">
        <v>18</v>
      </c>
      <c r="O508" s="5" t="s">
        <v>46</v>
      </c>
    </row>
    <row r="509" spans="1:15" s="4" customFormat="1">
      <c r="A509" s="4">
        <v>508</v>
      </c>
      <c r="B509" s="5" t="s">
        <v>414</v>
      </c>
      <c r="C509" s="3">
        <v>46009</v>
      </c>
      <c r="D509" s="5" t="s">
        <v>48</v>
      </c>
      <c r="E509" s="5" t="s">
        <v>49</v>
      </c>
      <c r="F509" s="5" t="s">
        <v>34</v>
      </c>
      <c r="G509" s="5">
        <v>2</v>
      </c>
      <c r="H509" s="5">
        <v>2</v>
      </c>
      <c r="I509" s="5">
        <v>918</v>
      </c>
      <c r="J509" s="13">
        <v>649100</v>
      </c>
      <c r="K509" s="15">
        <f t="shared" si="7"/>
        <v>707.08061002178647</v>
      </c>
      <c r="L509" s="5" t="s">
        <v>16</v>
      </c>
      <c r="M509" s="5" t="s">
        <v>17</v>
      </c>
      <c r="N509" s="5" t="s">
        <v>30</v>
      </c>
      <c r="O509" s="5" t="s">
        <v>37</v>
      </c>
    </row>
    <row r="510" spans="1:15" s="4" customFormat="1">
      <c r="A510" s="4">
        <v>509</v>
      </c>
      <c r="B510" s="5" t="s">
        <v>522</v>
      </c>
      <c r="C510" s="3">
        <v>45945</v>
      </c>
      <c r="D510" s="5" t="s">
        <v>21</v>
      </c>
      <c r="E510" s="5" t="s">
        <v>109</v>
      </c>
      <c r="F510" s="5" t="s">
        <v>34</v>
      </c>
      <c r="G510" s="5">
        <v>3</v>
      </c>
      <c r="H510" s="5">
        <v>3</v>
      </c>
      <c r="I510" s="5">
        <v>1438</v>
      </c>
      <c r="J510" s="13">
        <v>1424300</v>
      </c>
      <c r="K510" s="15">
        <f t="shared" si="7"/>
        <v>990.47287899860919</v>
      </c>
      <c r="L510" s="5" t="s">
        <v>53</v>
      </c>
      <c r="M510" s="5" t="s">
        <v>17</v>
      </c>
      <c r="N510" s="5" t="s">
        <v>18</v>
      </c>
      <c r="O510" s="5" t="s">
        <v>46</v>
      </c>
    </row>
    <row r="511" spans="1:15" s="4" customFormat="1">
      <c r="A511" s="4">
        <v>510</v>
      </c>
      <c r="B511" s="5" t="s">
        <v>423</v>
      </c>
      <c r="C511" s="3">
        <v>45806</v>
      </c>
      <c r="D511" s="5" t="s">
        <v>39</v>
      </c>
      <c r="E511" s="5" t="s">
        <v>61</v>
      </c>
      <c r="F511" s="5" t="s">
        <v>15</v>
      </c>
      <c r="G511" s="5">
        <v>5</v>
      </c>
      <c r="H511" s="5">
        <v>5</v>
      </c>
      <c r="I511" s="5">
        <v>2827</v>
      </c>
      <c r="J511" s="13">
        <v>1640600</v>
      </c>
      <c r="K511" s="15">
        <f t="shared" si="7"/>
        <v>580.33250795896708</v>
      </c>
      <c r="L511" s="5" t="s">
        <v>53</v>
      </c>
      <c r="M511" s="5" t="s">
        <v>17</v>
      </c>
      <c r="N511" s="5" t="s">
        <v>30</v>
      </c>
      <c r="O511" s="5" t="s">
        <v>42</v>
      </c>
    </row>
  </sheetData>
  <phoneticPr fontId="4"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4A6F7-4449-443B-A9F0-FD50DB174851}">
  <dimension ref="A3:O42"/>
  <sheetViews>
    <sheetView topLeftCell="B2" workbookViewId="0">
      <selection activeCell="K29" sqref="K29"/>
    </sheetView>
  </sheetViews>
  <sheetFormatPr defaultRowHeight="14.25"/>
  <cols>
    <col min="1" max="1" width="14.25" bestFit="1" customWidth="1"/>
    <col min="2" max="2" width="15.75" bestFit="1" customWidth="1"/>
    <col min="3" max="3" width="6.875" bestFit="1" customWidth="1"/>
    <col min="4" max="4" width="13.125" bestFit="1" customWidth="1"/>
    <col min="5" max="5" width="19.75" bestFit="1" customWidth="1"/>
    <col min="6" max="6" width="6.875" bestFit="1" customWidth="1"/>
    <col min="7" max="7" width="13.125" bestFit="1" customWidth="1"/>
    <col min="8" max="8" width="19.75" bestFit="1" customWidth="1"/>
    <col min="9" max="10" width="6.875" bestFit="1" customWidth="1"/>
    <col min="11" max="11" width="19.75" bestFit="1" customWidth="1"/>
    <col min="12" max="12" width="15.75" bestFit="1" customWidth="1"/>
    <col min="13" max="13" width="19.625" bestFit="1" customWidth="1"/>
    <col min="14" max="14" width="24.375" bestFit="1" customWidth="1"/>
    <col min="15" max="15" width="23.625" bestFit="1" customWidth="1"/>
    <col min="16" max="26" width="24.375" bestFit="1" customWidth="1"/>
    <col min="27" max="27" width="24.875" bestFit="1" customWidth="1"/>
    <col min="28" max="28" width="20.875" bestFit="1" customWidth="1"/>
    <col min="29" max="29" width="24.75" bestFit="1" customWidth="1"/>
    <col min="30" max="30" width="29.625" bestFit="1" customWidth="1"/>
    <col min="31" max="323" width="6.875" bestFit="1" customWidth="1"/>
    <col min="324" max="492" width="7.875" bestFit="1" customWidth="1"/>
    <col min="493" max="493" width="6.875" bestFit="1" customWidth="1"/>
    <col min="494" max="494" width="11.375" bestFit="1" customWidth="1"/>
  </cols>
  <sheetData>
    <row r="3" spans="1:15">
      <c r="A3" s="6" t="s">
        <v>562</v>
      </c>
      <c r="B3" t="s">
        <v>565</v>
      </c>
      <c r="D3" s="6" t="s">
        <v>562</v>
      </c>
      <c r="E3" t="s">
        <v>565</v>
      </c>
      <c r="G3" s="6" t="s">
        <v>562</v>
      </c>
      <c r="H3" t="s">
        <v>566</v>
      </c>
      <c r="K3" s="6" t="s">
        <v>562</v>
      </c>
      <c r="L3" t="s">
        <v>570</v>
      </c>
    </row>
    <row r="4" spans="1:15">
      <c r="A4" s="7" t="s">
        <v>39</v>
      </c>
      <c r="B4" s="8">
        <v>82</v>
      </c>
      <c r="D4" s="7" t="s">
        <v>23</v>
      </c>
      <c r="E4" s="8">
        <v>142</v>
      </c>
      <c r="G4" s="7">
        <v>5</v>
      </c>
      <c r="H4" s="10">
        <v>1497356.3114188237</v>
      </c>
      <c r="K4" s="7" t="s">
        <v>564</v>
      </c>
      <c r="L4" s="8">
        <v>9</v>
      </c>
    </row>
    <row r="5" spans="1:15">
      <c r="A5" s="7" t="s">
        <v>48</v>
      </c>
      <c r="B5" s="8">
        <v>78</v>
      </c>
      <c r="D5" s="7" t="s">
        <v>15</v>
      </c>
      <c r="E5" s="8">
        <v>128</v>
      </c>
      <c r="G5" s="7">
        <v>4</v>
      </c>
      <c r="H5" s="10">
        <v>1164816.6666666667</v>
      </c>
      <c r="K5" s="7" t="s">
        <v>19</v>
      </c>
      <c r="L5" s="8">
        <v>64</v>
      </c>
    </row>
    <row r="6" spans="1:15">
      <c r="A6" s="7" t="s">
        <v>32</v>
      </c>
      <c r="B6" s="8">
        <v>76</v>
      </c>
      <c r="D6" s="7" t="s">
        <v>34</v>
      </c>
      <c r="E6" s="8">
        <v>121</v>
      </c>
      <c r="G6" s="7">
        <v>3</v>
      </c>
      <c r="H6" s="10">
        <v>881355.47945205483</v>
      </c>
      <c r="K6" s="7" t="s">
        <v>46</v>
      </c>
      <c r="L6" s="8">
        <v>77</v>
      </c>
    </row>
    <row r="7" spans="1:15">
      <c r="A7" s="7" t="s">
        <v>14</v>
      </c>
      <c r="B7" s="8">
        <v>75</v>
      </c>
      <c r="D7" s="7" t="s">
        <v>52</v>
      </c>
      <c r="E7" s="8">
        <v>119</v>
      </c>
      <c r="G7" s="7">
        <v>2</v>
      </c>
      <c r="H7" s="10">
        <v>576228.88888888888</v>
      </c>
      <c r="K7" s="7" t="s">
        <v>37</v>
      </c>
      <c r="L7" s="8">
        <v>81</v>
      </c>
    </row>
    <row r="8" spans="1:15">
      <c r="A8" s="7" t="s">
        <v>44</v>
      </c>
      <c r="B8" s="8">
        <v>69</v>
      </c>
      <c r="D8" s="7" t="s">
        <v>563</v>
      </c>
      <c r="E8" s="8">
        <v>510</v>
      </c>
      <c r="G8" s="7">
        <v>1</v>
      </c>
      <c r="H8" s="10">
        <v>396931.81818181818</v>
      </c>
      <c r="K8" s="7" t="s">
        <v>25</v>
      </c>
      <c r="L8" s="8">
        <v>87</v>
      </c>
    </row>
    <row r="9" spans="1:15">
      <c r="A9" s="7" t="s">
        <v>21</v>
      </c>
      <c r="B9" s="8">
        <v>68</v>
      </c>
      <c r="G9" s="7" t="s">
        <v>563</v>
      </c>
      <c r="H9" s="10">
        <v>883916.24798156868</v>
      </c>
      <c r="K9" s="7" t="s">
        <v>35</v>
      </c>
      <c r="L9" s="8">
        <v>91</v>
      </c>
    </row>
    <row r="10" spans="1:15">
      <c r="A10" s="7" t="s">
        <v>27</v>
      </c>
      <c r="B10" s="8">
        <v>62</v>
      </c>
      <c r="K10" s="7" t="s">
        <v>42</v>
      </c>
      <c r="L10" s="8">
        <v>101</v>
      </c>
    </row>
    <row r="11" spans="1:15">
      <c r="A11" s="7" t="s">
        <v>563</v>
      </c>
      <c r="B11" s="8">
        <v>510</v>
      </c>
      <c r="K11" s="7" t="s">
        <v>563</v>
      </c>
      <c r="L11" s="8">
        <v>510</v>
      </c>
    </row>
    <row r="13" spans="1:15">
      <c r="D13" s="6" t="s">
        <v>562</v>
      </c>
      <c r="E13" t="s">
        <v>566</v>
      </c>
      <c r="G13" s="6" t="s">
        <v>562</v>
      </c>
      <c r="H13" t="s">
        <v>565</v>
      </c>
    </row>
    <row r="14" spans="1:15">
      <c r="D14" s="7" t="s">
        <v>15</v>
      </c>
      <c r="E14" s="11">
        <v>824517.96875</v>
      </c>
      <c r="G14" s="7" t="s">
        <v>18</v>
      </c>
      <c r="H14" s="17">
        <v>0.29803921568627451</v>
      </c>
      <c r="K14" t="s">
        <v>565</v>
      </c>
      <c r="L14" t="s">
        <v>566</v>
      </c>
      <c r="M14" t="s">
        <v>571</v>
      </c>
      <c r="N14" t="s">
        <v>569</v>
      </c>
      <c r="O14" t="s">
        <v>577</v>
      </c>
    </row>
    <row r="15" spans="1:15">
      <c r="D15" s="7" t="s">
        <v>34</v>
      </c>
      <c r="E15" s="11">
        <v>964507.43801652896</v>
      </c>
      <c r="G15" s="7" t="s">
        <v>41</v>
      </c>
      <c r="H15" s="17">
        <v>0.36862745098039218</v>
      </c>
      <c r="K15" s="8">
        <v>510</v>
      </c>
      <c r="L15" s="8">
        <v>883916.24798156868</v>
      </c>
      <c r="M15" s="8">
        <v>1438.5411764705882</v>
      </c>
      <c r="N15" s="8">
        <v>616.40594652547952</v>
      </c>
      <c r="O15" s="8">
        <v>510</v>
      </c>
    </row>
    <row r="16" spans="1:15">
      <c r="A16" s="6" t="s">
        <v>562</v>
      </c>
      <c r="B16" t="s">
        <v>566</v>
      </c>
      <c r="D16" s="7" t="s">
        <v>23</v>
      </c>
      <c r="E16" s="11">
        <v>866599.29577464785</v>
      </c>
      <c r="G16" s="7" t="s">
        <v>30</v>
      </c>
      <c r="H16" s="17">
        <v>0.33333333333333331</v>
      </c>
    </row>
    <row r="17" spans="1:15">
      <c r="A17" s="7" t="s">
        <v>92</v>
      </c>
      <c r="B17" s="10">
        <v>829364</v>
      </c>
      <c r="D17" s="7" t="s">
        <v>52</v>
      </c>
      <c r="E17" s="11">
        <v>886525.09639159671</v>
      </c>
      <c r="G17" s="7" t="s">
        <v>563</v>
      </c>
      <c r="H17" s="17">
        <v>1</v>
      </c>
    </row>
    <row r="18" spans="1:15">
      <c r="A18" s="7" t="s">
        <v>72</v>
      </c>
      <c r="B18" s="10">
        <v>813563.63636363635</v>
      </c>
      <c r="D18" s="7" t="s">
        <v>563</v>
      </c>
      <c r="E18" s="11">
        <v>883916.24798156868</v>
      </c>
    </row>
    <row r="19" spans="1:15">
      <c r="A19" s="7" t="s">
        <v>51</v>
      </c>
      <c r="B19" s="10">
        <v>875973.68421052629</v>
      </c>
    </row>
    <row r="20" spans="1:15" ht="15">
      <c r="A20" s="7" t="s">
        <v>22</v>
      </c>
      <c r="B20" s="10">
        <v>1324588.2352941176</v>
      </c>
      <c r="K20" s="1" t="s">
        <v>575</v>
      </c>
      <c r="L20" s="1" t="s">
        <v>572</v>
      </c>
      <c r="M20" s="1" t="s">
        <v>573</v>
      </c>
      <c r="N20" s="1" t="s">
        <v>574</v>
      </c>
      <c r="O20" s="1" t="s">
        <v>576</v>
      </c>
    </row>
    <row r="21" spans="1:15">
      <c r="A21" s="7" t="s">
        <v>69</v>
      </c>
      <c r="B21" s="10">
        <v>1021687.5</v>
      </c>
      <c r="K21" s="20">
        <f>K15</f>
        <v>510</v>
      </c>
      <c r="L21" s="20" t="str">
        <f>TEXT(L15,"₹#,##")</f>
        <v>₹883,916</v>
      </c>
      <c r="M21" s="20" t="str">
        <f>TEXT(M15,"#,##0")&amp;" sq.ft."</f>
        <v>1,439 sq.ft.</v>
      </c>
      <c r="N21" s="20" t="str">
        <f>TEXT(N15,"₹#,##0.00")</f>
        <v>₹616.41</v>
      </c>
      <c r="O21" s="20" t="str">
        <f>TEXT(H16,"#,##%")</f>
        <v>33%</v>
      </c>
    </row>
    <row r="22" spans="1:15">
      <c r="A22" s="7" t="s">
        <v>40</v>
      </c>
      <c r="B22" s="10">
        <v>776838.4615384615</v>
      </c>
      <c r="K22" s="20"/>
      <c r="L22" s="20"/>
      <c r="M22" s="20"/>
      <c r="N22" s="20"/>
      <c r="O22" s="20"/>
    </row>
    <row r="23" spans="1:15">
      <c r="A23" s="7" t="s">
        <v>33</v>
      </c>
      <c r="B23" s="10">
        <v>465282.35294117645</v>
      </c>
      <c r="D23" s="6" t="s">
        <v>562</v>
      </c>
      <c r="E23" t="s">
        <v>569</v>
      </c>
      <c r="G23" s="6" t="s">
        <v>562</v>
      </c>
      <c r="H23" t="s">
        <v>566</v>
      </c>
      <c r="K23" s="20"/>
      <c r="L23" s="20"/>
      <c r="M23" s="20"/>
      <c r="N23" s="20"/>
      <c r="O23" s="20"/>
    </row>
    <row r="24" spans="1:15">
      <c r="A24" s="7" t="s">
        <v>77</v>
      </c>
      <c r="B24" s="10">
        <v>468273.91304347827</v>
      </c>
      <c r="D24" s="7" t="s">
        <v>21</v>
      </c>
      <c r="E24" s="19">
        <v>1032.3332611987764</v>
      </c>
      <c r="G24" s="18" t="s">
        <v>24</v>
      </c>
      <c r="H24" s="8">
        <v>902077.39819010999</v>
      </c>
      <c r="K24" s="20"/>
      <c r="L24" s="20"/>
      <c r="M24" s="20"/>
      <c r="N24" s="20"/>
      <c r="O24" s="20"/>
    </row>
    <row r="25" spans="1:15" ht="15">
      <c r="A25" s="7" t="s">
        <v>67</v>
      </c>
      <c r="B25" s="10">
        <v>1413744.4444444445</v>
      </c>
      <c r="D25" s="7" t="s">
        <v>27</v>
      </c>
      <c r="E25" s="19">
        <v>729.7617623350942</v>
      </c>
      <c r="G25" s="7" t="s">
        <v>16</v>
      </c>
      <c r="H25" s="8">
        <v>887398.79518072284</v>
      </c>
      <c r="K25" s="1"/>
      <c r="L25" s="1"/>
      <c r="M25" s="1"/>
      <c r="N25" s="1"/>
      <c r="O25" s="1"/>
    </row>
    <row r="26" spans="1:15">
      <c r="A26" s="7" t="s">
        <v>100</v>
      </c>
      <c r="B26" s="10">
        <v>626925</v>
      </c>
      <c r="D26" s="7" t="s">
        <v>48</v>
      </c>
      <c r="E26" s="19">
        <v>677.49822026291054</v>
      </c>
      <c r="G26" s="7" t="s">
        <v>53</v>
      </c>
      <c r="H26" s="8">
        <v>859944.4444444445</v>
      </c>
      <c r="K26" s="20"/>
      <c r="L26" s="20"/>
      <c r="M26" s="20"/>
      <c r="N26" s="20"/>
      <c r="O26" s="20"/>
    </row>
    <row r="27" spans="1:15">
      <c r="A27" s="7" t="s">
        <v>567</v>
      </c>
      <c r="B27" s="10">
        <v>844920</v>
      </c>
      <c r="D27" s="7" t="s">
        <v>14</v>
      </c>
      <c r="E27" s="19">
        <v>589.82990387740119</v>
      </c>
      <c r="G27" s="7" t="s">
        <v>563</v>
      </c>
      <c r="H27" s="8">
        <v>883916.24798156868</v>
      </c>
      <c r="K27" s="20"/>
      <c r="L27" s="20"/>
      <c r="M27" s="20"/>
      <c r="N27" s="20"/>
      <c r="O27" s="20"/>
    </row>
    <row r="28" spans="1:15">
      <c r="A28" s="7" t="s">
        <v>65</v>
      </c>
      <c r="B28" s="10">
        <v>522431.57894736843</v>
      </c>
      <c r="D28" s="7" t="s">
        <v>39</v>
      </c>
      <c r="E28" s="19">
        <v>555.06425430141542</v>
      </c>
      <c r="K28" s="20"/>
      <c r="L28" s="20"/>
      <c r="M28" s="20"/>
      <c r="N28" s="20"/>
      <c r="O28" s="20"/>
    </row>
    <row r="29" spans="1:15">
      <c r="A29" s="7" t="s">
        <v>75</v>
      </c>
      <c r="B29" s="10">
        <v>769715.38461538462</v>
      </c>
      <c r="D29" s="7" t="s">
        <v>44</v>
      </c>
      <c r="E29" s="19">
        <v>442.13677525783322</v>
      </c>
    </row>
    <row r="30" spans="1:15">
      <c r="A30" s="7" t="s">
        <v>112</v>
      </c>
      <c r="B30" s="10">
        <v>435873.33333333331</v>
      </c>
      <c r="D30" s="7" t="s">
        <v>32</v>
      </c>
      <c r="E30" s="19">
        <v>339.71488664319889</v>
      </c>
    </row>
    <row r="31" spans="1:15">
      <c r="A31" s="7" t="s">
        <v>45</v>
      </c>
      <c r="B31" s="10">
        <v>711183.49845263152</v>
      </c>
      <c r="D31" s="7" t="s">
        <v>563</v>
      </c>
      <c r="E31" s="19">
        <v>616.40594652547907</v>
      </c>
    </row>
    <row r="32" spans="1:15">
      <c r="A32" s="7" t="s">
        <v>129</v>
      </c>
      <c r="B32" s="10">
        <v>856150</v>
      </c>
    </row>
    <row r="33" spans="1:2">
      <c r="A33" s="7" t="s">
        <v>28</v>
      </c>
      <c r="B33" s="10">
        <v>1232066.6666666667</v>
      </c>
    </row>
    <row r="34" spans="1:2">
      <c r="A34" s="7" t="s">
        <v>61</v>
      </c>
      <c r="B34" s="10">
        <v>666193.75</v>
      </c>
    </row>
    <row r="35" spans="1:2">
      <c r="A35" s="7" t="s">
        <v>58</v>
      </c>
      <c r="B35" s="10">
        <v>1026628.5714285715</v>
      </c>
    </row>
    <row r="36" spans="1:2">
      <c r="A36" s="7" t="s">
        <v>82</v>
      </c>
      <c r="B36" s="10">
        <v>994676.4705882353</v>
      </c>
    </row>
    <row r="37" spans="1:2">
      <c r="A37" s="7" t="s">
        <v>56</v>
      </c>
      <c r="B37" s="10">
        <v>976295.12195121951</v>
      </c>
    </row>
    <row r="38" spans="1:2">
      <c r="A38" s="7" t="s">
        <v>84</v>
      </c>
      <c r="B38" s="10">
        <v>1562404.7619047619</v>
      </c>
    </row>
    <row r="39" spans="1:2">
      <c r="A39" s="7" t="s">
        <v>109</v>
      </c>
      <c r="B39" s="10">
        <v>1265253.8461538462</v>
      </c>
    </row>
    <row r="40" spans="1:2">
      <c r="A40" s="7" t="s">
        <v>49</v>
      </c>
      <c r="B40" s="10">
        <v>941663.63636363635</v>
      </c>
    </row>
    <row r="41" spans="1:2">
      <c r="A41" s="7" t="s">
        <v>79</v>
      </c>
      <c r="B41" s="10">
        <v>1206615.3846153845</v>
      </c>
    </row>
    <row r="42" spans="1:2">
      <c r="A42" s="7" t="s">
        <v>563</v>
      </c>
      <c r="B42" s="10">
        <v>883916.24798156868</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9B3F-6127-46E6-B6D7-DDE46F534571}">
  <dimension ref="A3"/>
  <sheetViews>
    <sheetView workbookViewId="0">
      <selection activeCell="E7" sqref="E7"/>
    </sheetView>
  </sheetViews>
  <sheetFormatPr defaultRowHeight="14.25"/>
  <sheetData>
    <row r="3" ht="6.75"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ANAYLIS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2026-10-09T00:53:09Z</dcterms:modified>
</cp:coreProperties>
</file>